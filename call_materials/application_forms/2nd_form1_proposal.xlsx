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CC62B5B8-0506-40FC-88B6-63266C17BA9D}" xr6:coauthVersionLast="47" xr6:coauthVersionMax="47" xr10:uidLastSave="{00000000-0000-0000-0000-000000000000}"/>
  <bookViews>
    <workbookView xWindow="-110" yWindow="-110" windowWidth="23260" windowHeight="14860" firstSheet="1" activeTab="3" xr2:uid="{2D8CA7CC-26B6-415B-8383-6721B47BF0D7}"/>
  </bookViews>
  <sheets>
    <sheet name="はじめにご確認ください）記入にあたっての留意事項" sheetId="1" r:id="rId1"/>
    <sheet name="参考）府省共通経費取扱区分表" sheetId="2" r:id="rId2"/>
    <sheet name="研究計画調書_1枚目" sheetId="3" r:id="rId3"/>
    <sheet name="研究計画調書_2枚目" sheetId="4" r:id="rId4"/>
    <sheet name="研究計画調書_3枚目" sheetId="5" r:id="rId5"/>
    <sheet name="研究計画調書_4枚目" sheetId="8" r:id="rId6"/>
    <sheet name="リスト"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5" l="1"/>
  <c r="J31" i="5" s="1"/>
  <c r="J30" i="5"/>
  <c r="J29" i="5"/>
  <c r="J28" i="5"/>
  <c r="J27" i="5"/>
  <c r="J26" i="5"/>
  <c r="J25" i="5"/>
  <c r="J24" i="5"/>
  <c r="J23" i="5"/>
  <c r="J22" i="5"/>
  <c r="J21" i="5"/>
  <c r="J20" i="5"/>
  <c r="J19" i="5"/>
  <c r="J18" i="5"/>
  <c r="J17" i="5"/>
  <c r="J16" i="5"/>
  <c r="J15" i="5"/>
  <c r="J14" i="5"/>
  <c r="J13" i="5"/>
  <c r="J12" i="5"/>
  <c r="E11" i="4"/>
  <c r="E12" i="4"/>
  <c r="N31" i="5"/>
  <c r="G48" i="3" s="1"/>
  <c r="N60" i="5"/>
  <c r="J60" i="5"/>
  <c r="E60" i="5"/>
  <c r="I48" i="3" s="1"/>
  <c r="E89" i="5"/>
  <c r="L48" i="3" s="1"/>
  <c r="E13" i="4"/>
  <c r="E10" i="4"/>
  <c r="E9" i="4"/>
  <c r="E8" i="4"/>
  <c r="N42" i="3"/>
  <c r="N35" i="3"/>
  <c r="K48" i="3" l="1"/>
  <c r="E48" i="3"/>
  <c r="D48" i="3" l="1"/>
</calcChain>
</file>

<file path=xl/sharedStrings.xml><?xml version="1.0" encoding="utf-8"?>
<sst xmlns="http://schemas.openxmlformats.org/spreadsheetml/2006/main" count="356" uniqueCount="285">
  <si>
    <t>研究計画調書の記載にあたっての留意事項</t>
    <rPh sb="0" eb="6">
      <t>ケンキュウケイカクチョウショ</t>
    </rPh>
    <rPh sb="7" eb="9">
      <t>キサイ</t>
    </rPh>
    <rPh sb="15" eb="19">
      <t>リュウイジコウ</t>
    </rPh>
    <phoneticPr fontId="2"/>
  </si>
  <si>
    <t>No</t>
    <phoneticPr fontId="2"/>
  </si>
  <si>
    <t>項目</t>
    <rPh sb="0" eb="2">
      <t>コウモク</t>
    </rPh>
    <phoneticPr fontId="2"/>
  </si>
  <si>
    <t>留意事項</t>
    <rPh sb="0" eb="4">
      <t>リュウイジコウ</t>
    </rPh>
    <phoneticPr fontId="2"/>
  </si>
  <si>
    <t>入力内容の確認について</t>
    <phoneticPr fontId="2"/>
  </si>
  <si>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</si>
  <si>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2"/>
  </si>
  <si>
    <t>文字数制限のある項目は、文字数カウントを必ず確認のうえ、既定の文字数範囲内に収めてください。
文字数制限に対して超過/不足している場合、書類不備として「不受理」扱いとなることがございますので、ご留意ください。
 ★上限超過または下限不足の場合、文字数カウントが赤字で表示されます</t>
  </si>
  <si>
    <t>調書の構成について</t>
    <phoneticPr fontId="2"/>
  </si>
  <si>
    <t>研究計画調書の構成は下記のとおりです。応募者による記入が必要なタブは、全体で4枚となっております。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t>
    <phoneticPr fontId="2"/>
  </si>
  <si>
    <t>様式（フォーマット）の取扱いについて</t>
    <phoneticPr fontId="2"/>
  </si>
  <si>
    <t>調書は入力項目以外の編集が、原則制限されています。必要な場合を除いて、レイアウト・書式の変更は行わないでください。</t>
    <rPh sb="14" eb="16">
      <t>ゲンソク</t>
    </rPh>
    <rPh sb="25" eb="27">
      <t>ヒツヨウ</t>
    </rPh>
    <rPh sb="28" eb="30">
      <t>バアイ</t>
    </rPh>
    <rPh sb="31" eb="32">
      <t>ノゾ</t>
    </rPh>
    <phoneticPr fontId="2"/>
  </si>
  <si>
    <t>研究計画調書のファイル名について</t>
    <rPh sb="0" eb="6">
      <t>ケンキュウケイカクチョウショ</t>
    </rPh>
    <rPh sb="11" eb="12">
      <t>メイ</t>
    </rPh>
    <phoneticPr fontId="2"/>
  </si>
  <si>
    <t>本ファイルのファイル名「様式１＿第2回研究計画調書＿e-Rad所属機関コード＿ローマ字氏名」のうち、「e-Rad所属機関コード」「ローマ字氏名」をご自身の情報に更新ください。e-Rad所属機関コードは半角数字、ローマ字氏名は半角英字で姓名の順で記載いただき、姓名の間には半角でスペースを空けてください。</t>
    <rPh sb="16" eb="17">
      <t>ダイ</t>
    </rPh>
    <rPh sb="18" eb="19">
      <t>カイ</t>
    </rPh>
    <rPh sb="129" eb="131">
      <t>セイメイ</t>
    </rPh>
    <rPh sb="132" eb="133">
      <t>アイダ</t>
    </rPh>
    <rPh sb="135" eb="137">
      <t>ハンカク</t>
    </rPh>
    <rPh sb="143" eb="144">
      <t>ア</t>
    </rPh>
    <phoneticPr fontId="2"/>
  </si>
  <si>
    <t>研究経費について</t>
    <rPh sb="0" eb="4">
      <t>ケンキュウケイヒ</t>
    </rPh>
    <phoneticPr fontId="2"/>
  </si>
  <si>
    <t>研究計画調書1枚目の「研究経費」の「総計」欄について、研究経費の総計が、10万円未満または500万円を超える場合には赤くエラー表示がされます。
金額を記載の際には、必ず半角数字とし、千円未満の端数は切り捨ててください。</t>
    <rPh sb="7" eb="9">
      <t>マイメ</t>
    </rPh>
    <rPh sb="11" eb="15">
      <t>ケンキュウケイヒ</t>
    </rPh>
    <rPh sb="18" eb="20">
      <t>ソウケイ</t>
    </rPh>
    <rPh sb="21" eb="22">
      <t>ラン</t>
    </rPh>
    <rPh sb="27" eb="29">
      <t>ケンキュウ</t>
    </rPh>
    <rPh sb="29" eb="31">
      <t>ケイヒ</t>
    </rPh>
    <rPh sb="32" eb="34">
      <t>ソウケイ</t>
    </rPh>
    <rPh sb="38" eb="40">
      <t>マンエン</t>
    </rPh>
    <rPh sb="40" eb="42">
      <t>ミマン</t>
    </rPh>
    <rPh sb="48" eb="50">
      <t>マンエン</t>
    </rPh>
    <rPh sb="51" eb="52">
      <t>コ</t>
    </rPh>
    <rPh sb="54" eb="56">
      <t>バアイ</t>
    </rPh>
    <rPh sb="58" eb="59">
      <t>アカ</t>
    </rPh>
    <rPh sb="63" eb="65">
      <t>ヒョウジ</t>
    </rPh>
    <phoneticPr fontId="2"/>
  </si>
  <si>
    <t>その他</t>
    <rPh sb="2" eb="3">
      <t>ホカ</t>
    </rPh>
    <phoneticPr fontId="2"/>
  </si>
  <si>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2"/>
  </si>
  <si>
    <t>【参考：研究領域分類】</t>
    <rPh sb="1" eb="3">
      <t>サンコウ</t>
    </rPh>
    <rPh sb="4" eb="6">
      <t>ケンキュウ</t>
    </rPh>
    <rPh sb="6" eb="8">
      <t>リョウイキ</t>
    </rPh>
    <rPh sb="8" eb="10">
      <t>ブンルイ</t>
    </rPh>
    <phoneticPr fontId="2"/>
  </si>
  <si>
    <t>研究領域</t>
    <rPh sb="0" eb="4">
      <t>ケンキュウリョウイキ</t>
    </rPh>
    <phoneticPr fontId="2"/>
  </si>
  <si>
    <t>定義</t>
    <rPh sb="0" eb="2">
      <t>テイギ</t>
    </rPh>
    <phoneticPr fontId="2"/>
  </si>
  <si>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</si>
  <si>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</si>
  <si>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</si>
  <si>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</si>
  <si>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</si>
  <si>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</si>
  <si>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</si>
  <si>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</si>
  <si>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</si>
  <si>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</si>
  <si>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</si>
  <si>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</si>
  <si>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</si>
  <si>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</si>
  <si>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</si>
  <si>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</si>
  <si>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2"/>
  </si>
  <si>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</si>
  <si>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</si>
  <si>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</si>
  <si>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</si>
  <si>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</si>
  <si>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</si>
  <si>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</si>
  <si>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</si>
  <si>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</si>
  <si>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</si>
  <si>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</si>
  <si>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</si>
  <si>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</si>
  <si>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</si>
  <si>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phoneticPr fontId="2"/>
  </si>
  <si>
    <t>開発／利用</t>
  </si>
  <si>
    <t>ユースケースの分類</t>
  </si>
  <si>
    <t>定義・判断基準</t>
  </si>
  <si>
    <t>具体イメージ</t>
  </si>
  <si>
    <t>開発</t>
    <phoneticPr fontId="2"/>
  </si>
  <si>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</si>
  <si>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</si>
  <si>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2"/>
  </si>
  <si>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</si>
  <si>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2"/>
  </si>
  <si>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2"/>
  </si>
  <si>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</si>
  <si>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2"/>
  </si>
  <si>
    <t>・生物実験のスケジュールや自動化できる小規模AIモデルの開発
・流体方程式を組み込んだ物理系のAIシミュレーションの開発​
・素粒子加速実験におけるジェット分類を行う深層学習モデル開発​</t>
    <phoneticPr fontId="2"/>
  </si>
  <si>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</si>
  <si>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</si>
  <si>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2"/>
  </si>
  <si>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</si>
  <si>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</si>
  <si>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</si>
  <si>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2"/>
  </si>
  <si>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</si>
  <si>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2"/>
  </si>
  <si>
    <t>・言語獲得の過程を、LLMを人間に見立てシミュレーションする研究
・AIエージェントを用いることで「社会」をシミュレーション研究​
・バーチャル臓器による臨床試験のプロトタイプを開発​</t>
    <phoneticPr fontId="2"/>
  </si>
  <si>
    <t>発見・設計支援</t>
  </si>
  <si>
    <t>既存のAIを利用(※)が主で、仮説生成から実験計画など、「実際の実験・解析」などに至る前段階のプロセスをAIにより効率化・自立化する場合が該当</t>
    <rPh sb="61" eb="63">
      <t>ジリツ</t>
    </rPh>
    <phoneticPr fontId="2"/>
  </si>
  <si>
    <t>・既存AIを活用し、産業動向等を踏まえつつ研究ネクストステップの仮説や産学連携の案を提示するシステムを開発
・材料設計において、実験前の段階で筋の良い材料探索をAIで実施​</t>
    <phoneticPr fontId="2"/>
  </si>
  <si>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</si>
  <si>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2"/>
  </si>
  <si>
    <t>・SNSのデータをリアルタイムにAIにより分析し、社会情勢を可視化
・地震発生の長期予測モデルに必要なパラメータを、AIを活用し推定</t>
    <phoneticPr fontId="2"/>
  </si>
  <si>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</si>
  <si>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</si>
  <si>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2"/>
  </si>
  <si>
    <t>(※) 既存のAIを利用 : ChatGPT等の既存モデルをサービスあるいはAPI経由で利用したり、SaaS・AutoML系のサービス等を利用することを指す​</t>
  </si>
  <si>
    <t>【府省共通経費取扱区分表について】</t>
    <phoneticPr fontId="2"/>
  </si>
  <si>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</si>
  <si>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phoneticPr fontId="2"/>
  </si>
  <si>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phoneticPr fontId="2"/>
  </si>
  <si>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</si>
  <si>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</si>
  <si>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</si>
  <si>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</si>
  <si>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</si>
  <si>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</si>
  <si>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</si>
  <si>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</si>
  <si>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</si>
  <si>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</si>
  <si>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</si>
  <si>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</si>
  <si>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r>
      <rPr>
        <sz val="10"/>
        <color rgb="FFFF0000"/>
        <rFont val="AR P丸ゴシック体M"/>
        <family val="3"/>
        <charset val="128"/>
      </rPr>
      <t>計算資源を物品として取得する場合（例：GPU搭載機器の購入等）については、「設備備品費」として計上するとともに、</t>
    </r>
    <r>
      <rPr>
        <b/>
        <sz val="10"/>
        <color rgb="FFFF0000"/>
        <rFont val="AR P丸ゴシック体M"/>
        <family val="3"/>
        <charset val="128"/>
      </rPr>
      <t>研究計画調書_4枚目の「計算資源費用(クラウドGPU含む）」としても計上してください。</t>
    </r>
  </si>
  <si>
    <t>GPU搭載サーバ、ワークステーション、研究用ストレージ装置その他これらに類する計算機器を物品として取得する場合であって、備品として管理すべきものは、「設備備品費」に計上してください。</t>
    <phoneticPr fontId="2"/>
  </si>
  <si>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</si>
  <si>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</si>
  <si>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</si>
  <si>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</si>
  <si>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</si>
  <si>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</si>
  <si>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</si>
  <si>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</si>
  <si>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</si>
  <si>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</si>
  <si>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</si>
  <si>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</si>
  <si>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</si>
  <si>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</si>
  <si>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</si>
  <si>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</si>
  <si>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</si>
  <si>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</si>
  <si>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</si>
  <si>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</si>
  <si>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</si>
  <si>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phoneticPr fontId="2"/>
  </si>
  <si>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</si>
  <si>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研究計画調書_4枚目の「計算資源費用(クラウドGPU含む）」として計上</t>
    </r>
    <r>
      <rPr>
        <sz val="10"/>
        <color rgb="FFFF0000"/>
        <rFont val="AR P丸ゴシック体M"/>
        <family val="3"/>
        <charset val="128"/>
      </rPr>
      <t>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</si>
  <si>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</si>
  <si>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</si>
  <si>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</si>
  <si>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</si>
  <si>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2"/>
  </si>
  <si>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2"/>
  </si>
  <si>
    <t>再委託費・共同実施費</t>
    <rPh sb="0" eb="3">
      <t>サイイタク</t>
    </rPh>
    <rPh sb="3" eb="4">
      <t>ヒ</t>
    </rPh>
    <rPh sb="5" eb="7">
      <t>キョウドウ</t>
    </rPh>
    <rPh sb="7" eb="9">
      <t>ジッシ</t>
    </rPh>
    <rPh sb="9" eb="10">
      <t>ヒ</t>
    </rPh>
    <phoneticPr fontId="2"/>
  </si>
  <si>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2"/>
  </si>
  <si>
    <t>様式1</t>
    <rPh sb="0" eb="2">
      <t>ヨウシキ</t>
    </rPh>
    <phoneticPr fontId="2"/>
  </si>
  <si>
    <t>日本語</t>
    <rPh sb="0" eb="3">
      <t>ニホンゴ</t>
    </rPh>
    <phoneticPr fontId="2"/>
  </si>
  <si>
    <t>1枚目</t>
    <rPh sb="1" eb="3">
      <t>マイメ</t>
    </rPh>
    <phoneticPr fontId="2"/>
  </si>
  <si>
    <t>令和8年度 AI for Science萌芽的挑戦研究創出事業（SPReAD）研究計画調書</t>
    <phoneticPr fontId="2"/>
  </si>
  <si>
    <t>提出日</t>
    <rPh sb="0" eb="2">
      <t>テイシュツ</t>
    </rPh>
    <rPh sb="2" eb="3">
      <t>ビ</t>
    </rPh>
    <phoneticPr fontId="2"/>
  </si>
  <si>
    <t>年</t>
    <rPh sb="0" eb="1">
      <t>ネン</t>
    </rPh>
    <phoneticPr fontId="2"/>
  </si>
  <si>
    <t>月</t>
    <rPh sb="0" eb="1">
      <t>ガツ</t>
    </rPh>
    <phoneticPr fontId="2"/>
  </si>
  <si>
    <t>日</t>
    <rPh sb="0" eb="1">
      <t>ニチ</t>
    </rPh>
    <phoneticPr fontId="2"/>
  </si>
  <si>
    <t>応募者情報</t>
    <rPh sb="0" eb="3">
      <t>オウボシャ</t>
    </rPh>
    <rPh sb="3" eb="5">
      <t>ジョウホウ</t>
    </rPh>
    <phoneticPr fontId="2"/>
  </si>
  <si>
    <t>e-Rad 研究者番号  (8桁の半角数字)</t>
    <phoneticPr fontId="2"/>
  </si>
  <si>
    <t>※研究代表者本人が研究者番号を持たない場合は、代理で申請を行う指導教員等の番号をご記載ください。
※Excelの仕様上、冒頭の「0」が表示されないことがございますが、審査上は問題ございません。</t>
    <phoneticPr fontId="2"/>
  </si>
  <si>
    <t>メールアドレス</t>
    <phoneticPr fontId="2"/>
  </si>
  <si>
    <t>※必ず、所属機関から発行されている研究代表者本人のメールアドレスをご使用ください。</t>
    <phoneticPr fontId="2"/>
  </si>
  <si>
    <t>研究代表者氏名</t>
    <phoneticPr fontId="2"/>
  </si>
  <si>
    <t>フリガナ</t>
    <phoneticPr fontId="2"/>
  </si>
  <si>
    <t>漢字</t>
    <rPh sb="0" eb="2">
      <t>カンジ</t>
    </rPh>
    <phoneticPr fontId="2"/>
  </si>
  <si>
    <t>※姓と名は半角で1スペース空けてください。</t>
    <rPh sb="5" eb="7">
      <t>ハンカク</t>
    </rPh>
    <phoneticPr fontId="2"/>
  </si>
  <si>
    <t>生年月日 (西暦、半角数字)</t>
    <phoneticPr fontId="2"/>
  </si>
  <si>
    <t xml:space="preserve">e-Rad所属機関コード(半角数字)
</t>
    <phoneticPr fontId="2"/>
  </si>
  <si>
    <t>※科研費の機関番号とは異なりますのでご留意ください。ご不明な場合は、e-Rad上ないしは所属機関にご確認ください。</t>
    <rPh sb="1" eb="4">
      <t>カケンヒ</t>
    </rPh>
    <rPh sb="19" eb="21">
      <t>リュウイ</t>
    </rPh>
    <phoneticPr fontId="2"/>
  </si>
  <si>
    <t>所属機関</t>
    <phoneticPr fontId="2"/>
  </si>
  <si>
    <t>部局</t>
    <rPh sb="0" eb="2">
      <t>ブキョク</t>
    </rPh>
    <phoneticPr fontId="2"/>
  </si>
  <si>
    <t>職</t>
    <rPh sb="0" eb="1">
      <t>ショク</t>
    </rPh>
    <phoneticPr fontId="2"/>
  </si>
  <si>
    <t>学生の場合のみプルダウンから「Y」をご選択ください。→</t>
    <rPh sb="0" eb="2">
      <t>ガクセイ</t>
    </rPh>
    <rPh sb="3" eb="5">
      <t>バアイ</t>
    </rPh>
    <rPh sb="19" eb="21">
      <t>センタク</t>
    </rPh>
    <phoneticPr fontId="2"/>
  </si>
  <si>
    <t>所属機関の区分</t>
    <rPh sb="0" eb="4">
      <t>ショゾクキカン</t>
    </rPh>
    <phoneticPr fontId="2"/>
  </si>
  <si>
    <t>※最も近しいものをプルダウンからご選択ください。
※プルダウンが使えない場合、「リスト」タブの「所属機関の区分」の中から該当のものを選択し、転記ください。</t>
    <phoneticPr fontId="2"/>
  </si>
  <si>
    <t>応募者属性の区分</t>
    <rPh sb="0" eb="5">
      <t>オウボシャゾクセイ</t>
    </rPh>
    <phoneticPr fontId="2"/>
  </si>
  <si>
    <t>※最も近しいものをプルダウンからご選択ください。
※プルダウンが使えない場合、「リスト」タブの「応募者属性の区分」の中から該当のものを選択し、転記ください。</t>
    <phoneticPr fontId="2"/>
  </si>
  <si>
    <t>研究課題情報</t>
    <rPh sb="2" eb="6">
      <t>カダイジョウホウ</t>
    </rPh>
    <phoneticPr fontId="2"/>
  </si>
  <si>
    <t>研究領域</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</si>
  <si>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※プルダウンが使えない場合、「はじめにご確認ください）記入にあたっての留意事項」タブの「参考：研究領域分類」のB列「研究領域」から該当のものを選択し、転記ください。</t>
    <phoneticPr fontId="2"/>
  </si>
  <si>
    <t>メインユースケース分類</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</si>
  <si>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※プルダウンが使えない場合、「はじめにご確認ください）記入にあたっての留意事項」タブの「参考：ユースケース分類」のC列「ユースケースの分類」から該当のものを選択し、転記ください。</t>
    <rPh sb="125" eb="127">
      <t>ブンルイ</t>
    </rPh>
    <phoneticPr fontId="2"/>
  </si>
  <si>
    <t>「9.その他」を選択した場合(自由記述)</t>
    <phoneticPr fontId="2"/>
  </si>
  <si>
    <t>サブユースケース選択</t>
    <phoneticPr fontId="2"/>
  </si>
  <si>
    <t>1.学習用データセット構築</t>
    <phoneticPr fontId="26"/>
  </si>
  <si>
    <t>2.既存モデルの適応</t>
    <rPh sb="2" eb="4">
      <t>キゾン</t>
    </rPh>
    <rPh sb="8" eb="10">
      <t>テキオウ</t>
    </rPh>
    <phoneticPr fontId="26"/>
  </si>
  <si>
    <t>3.AIモデル開発</t>
    <rPh sb="7" eb="9">
      <t>カイハツ</t>
    </rPh>
    <phoneticPr fontId="26"/>
  </si>
  <si>
    <t>4.既存モデル評価</t>
    <rPh sb="2" eb="4">
      <t>キゾン</t>
    </rPh>
    <rPh sb="7" eb="9">
      <t>ヒョウカ</t>
    </rPh>
    <phoneticPr fontId="26"/>
  </si>
  <si>
    <t>5.実験自動化・
自律化</t>
    <phoneticPr fontId="2"/>
  </si>
  <si>
    <t>6.シミュレーション・
デジタルツイン</t>
    <phoneticPr fontId="26"/>
  </si>
  <si>
    <t>7.発見・設計支援</t>
    <rPh sb="2" eb="4">
      <t>ハッケン</t>
    </rPh>
    <rPh sb="5" eb="7">
      <t>セッケイ</t>
    </rPh>
    <rPh sb="7" eb="9">
      <t>シエン</t>
    </rPh>
    <phoneticPr fontId="26"/>
  </si>
  <si>
    <t>8.高度データ解析・
モデリング</t>
    <rPh sb="2" eb="4">
      <t>コウド</t>
    </rPh>
    <rPh sb="7" eb="9">
      <t>カイセキ</t>
    </rPh>
    <phoneticPr fontId="26"/>
  </si>
  <si>
    <t>※「はじめにご確認ください）記入にあたっての留意事項」タブを参照し、メインユースケースを達成するための補助目的として該当するものすべてに、プルダウンで「Y」をつけてください。</t>
    <phoneticPr fontId="2"/>
  </si>
  <si>
    <t>文字数カウント</t>
    <rPh sb="0" eb="3">
      <t>モジスウ</t>
    </rPh>
    <phoneticPr fontId="2"/>
  </si>
  <si>
    <t>研究課題名</t>
    <phoneticPr fontId="2"/>
  </si>
  <si>
    <t>(日本語：50文字程度)
※上記文字数は目安となります。</t>
    <phoneticPr fontId="2"/>
  </si>
  <si>
    <t>AI活用度</t>
    <rPh sb="2" eb="4">
      <t>カツヨウ</t>
    </rPh>
    <rPh sb="4" eb="5">
      <t>ド</t>
    </rPh>
    <phoneticPr fontId="2"/>
  </si>
  <si>
    <t xml:space="preserve">AI活用度選択(複数選択可)
</t>
    <rPh sb="2" eb="4">
      <t>カツヨウ</t>
    </rPh>
    <rPh sb="4" eb="5">
      <t>ド</t>
    </rPh>
    <rPh sb="5" eb="7">
      <t>センタク</t>
    </rPh>
    <rPh sb="8" eb="13">
      <t>フクスウセンタクカ</t>
    </rPh>
    <phoneticPr fontId="2"/>
  </si>
  <si>
    <t>研究でAIをまったく使っていない</t>
    <phoneticPr fontId="2"/>
  </si>
  <si>
    <t>研究そのもの以外の業務（メール・翻訳等）でAIを使っている</t>
    <phoneticPr fontId="2"/>
  </si>
  <si>
    <t>研究における文献探索や要約にAIを使っている</t>
    <phoneticPr fontId="2"/>
  </si>
  <si>
    <t>論文執筆や研究発表資料作成にAIを使っている</t>
    <phoneticPr fontId="2"/>
  </si>
  <si>
    <t>仮説検討やアイデア出しにAIを使っている</t>
    <phoneticPr fontId="2"/>
  </si>
  <si>
    <t>研究データをAI (含: 自ら作成した深層学習コード 等) で分析・処理をしたことがある</t>
    <phoneticPr fontId="2"/>
  </si>
  <si>
    <t>AIや深層学習による分析結果を、論文・発表などにおいて研究成果として発表したことがある</t>
    <phoneticPr fontId="2"/>
  </si>
  <si>
    <t>APIにより既存AIを研究プロセスに組み込んでいる</t>
    <phoneticPr fontId="2"/>
  </si>
  <si>
    <t>自分でAI・深層学習モデルの開発 (学習・評価の一連のプロセス全てを含む)を行い、研究に活用したことがある</t>
    <phoneticPr fontId="2"/>
  </si>
  <si>
    <t>新しい基盤モデル開発の経験がある</t>
    <phoneticPr fontId="2"/>
  </si>
  <si>
    <t>※直接的に採択可否には影響しません。
※該当するものすべてに、プルダウンで「Y」をつけてください。</t>
    <phoneticPr fontId="2"/>
  </si>
  <si>
    <t xml:space="preserve">現在の具体的な活用方法
</t>
    <phoneticPr fontId="2"/>
  </si>
  <si>
    <t>(日本語：200字程度)
※上記文字数は目安となります。</t>
    <rPh sb="1" eb="4">
      <t>ニホンゴ</t>
    </rPh>
    <phoneticPr fontId="2"/>
  </si>
  <si>
    <t>研究経費</t>
    <phoneticPr fontId="2"/>
  </si>
  <si>
    <t>研究経費(半角数字)</t>
    <phoneticPr fontId="2"/>
  </si>
  <si>
    <t>研究経費(千円)</t>
    <phoneticPr fontId="2"/>
  </si>
  <si>
    <t>内訳（千円）</t>
    <rPh sb="0" eb="2">
      <t>ウチワケ</t>
    </rPh>
    <rPh sb="3" eb="5">
      <t>センエン</t>
    </rPh>
    <phoneticPr fontId="2"/>
  </si>
  <si>
    <t>設備備品費</t>
    <phoneticPr fontId="2"/>
  </si>
  <si>
    <t>消耗品費</t>
    <phoneticPr fontId="2"/>
  </si>
  <si>
    <t>謝金</t>
    <phoneticPr fontId="2"/>
  </si>
  <si>
    <t>旅費</t>
    <rPh sb="0" eb="2">
      <t>リョヒ</t>
    </rPh>
    <phoneticPr fontId="2"/>
  </si>
  <si>
    <t>その他</t>
    <rPh sb="2" eb="3">
      <t>タ</t>
    </rPh>
    <phoneticPr fontId="2"/>
  </si>
  <si>
    <t>総計</t>
    <rPh sb="0" eb="2">
      <t>ソウケイ</t>
    </rPh>
    <phoneticPr fontId="2"/>
  </si>
  <si>
    <t>※本欄は、自動で研究計画調書3枚目の各項目の総計欄が反映されますので編集しないでください。
※研究経費の総計が、10万円未満または500万円を超える場合には赤くエラー表示がされます。</t>
    <rPh sb="47" eb="51">
      <t>ケンキュウケイヒ</t>
    </rPh>
    <rPh sb="52" eb="54">
      <t>ソウケイ</t>
    </rPh>
    <rPh sb="58" eb="62">
      <t>マンエンミマン</t>
    </rPh>
    <rPh sb="68" eb="70">
      <t>マンエン</t>
    </rPh>
    <rPh sb="71" eb="72">
      <t>コ</t>
    </rPh>
    <rPh sb="74" eb="76">
      <t>バアイ</t>
    </rPh>
    <rPh sb="78" eb="79">
      <t>アカ</t>
    </rPh>
    <rPh sb="83" eb="85">
      <t>ヒョウジ</t>
    </rPh>
    <phoneticPr fontId="2"/>
  </si>
  <si>
    <t>2枚目</t>
    <rPh sb="1" eb="3">
      <t>マイメ</t>
    </rPh>
    <rPh sb="2" eb="3">
      <t>モク</t>
    </rPh>
    <phoneticPr fontId="2"/>
  </si>
  <si>
    <t>注意事項
　■　必ず公募要領の「4.応募する方へ（３）応募書類（研究計画調書）の作成・応募方法等」を参照のうえ、記載をお願いいたします。
　■　説明は、原則として文章により記述してください。なお、色を付した図や文字が使用された研究計画調書はそのまま審査に付されます。
　■　図表を用いた説明が必要な場合には、後段に設ける図表掲載欄において提示してください。</t>
    <rPh sb="0" eb="2">
      <t>チュウイ</t>
    </rPh>
    <rPh sb="2" eb="4">
      <t>ジコウ</t>
    </rPh>
    <phoneticPr fontId="2"/>
  </si>
  <si>
    <t>#</t>
    <phoneticPr fontId="2"/>
  </si>
  <si>
    <t>記入欄</t>
    <rPh sb="0" eb="2">
      <t>キニュウ</t>
    </rPh>
    <rPh sb="2" eb="3">
      <t>ラン</t>
    </rPh>
    <phoneticPr fontId="2"/>
  </si>
  <si>
    <t>文字数カウント
※既定文字数に満たない/超える場合に赤くエラーが表示されます。</t>
    <rPh sb="0" eb="3">
      <t>モジスウ</t>
    </rPh>
    <rPh sb="9" eb="11">
      <t>キテイ</t>
    </rPh>
    <rPh sb="11" eb="14">
      <t>モジスウ</t>
    </rPh>
    <rPh sb="15" eb="16">
      <t>ミ</t>
    </rPh>
    <rPh sb="20" eb="21">
      <t>コ</t>
    </rPh>
    <rPh sb="23" eb="25">
      <t>バアイ</t>
    </rPh>
    <rPh sb="26" eb="27">
      <t>アカ</t>
    </rPh>
    <rPh sb="32" eb="34">
      <t>ヒョウジ</t>
    </rPh>
    <phoneticPr fontId="2"/>
  </si>
  <si>
    <r>
      <t xml:space="preserve">研究目的
</t>
    </r>
    <r>
      <rPr>
        <sz val="10"/>
        <color rgb="FF000000"/>
        <rFont val="Meiryo UI"/>
        <family val="3"/>
        <charset val="128"/>
      </rPr>
      <t xml:space="preserve">研究課題の内容及びその目的について、何のためにどのような研究を行うのかを具体的に記載してください。対象とする現象・課題、解決しようとする問題、得ようとする知見等を明確に示してください。
</t>
    </r>
    <r>
      <rPr>
        <sz val="10"/>
        <color rgb="FFFF0000"/>
        <rFont val="Meiryo UI"/>
        <family val="3"/>
        <charset val="128"/>
      </rPr>
      <t xml:space="preserve">＜文字数制限＞
日本語：80文字以上400文字以内
</t>
    </r>
    <phoneticPr fontId="2"/>
  </si>
  <si>
    <r>
      <t xml:space="preserve">研究方法
</t>
    </r>
    <r>
      <rPr>
        <sz val="10"/>
        <color rgb="FF000000"/>
        <rFont val="Meiryo UI"/>
        <family val="3"/>
        <charset val="128"/>
      </rPr>
      <t xml:space="preserve">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
</t>
    </r>
    <r>
      <rPr>
        <sz val="10"/>
        <color rgb="FFFF0000"/>
        <rFont val="Meiryo UI"/>
        <family val="3"/>
        <charset val="128"/>
      </rPr>
      <t xml:space="preserve">＜文字数制限＞
日本語：160文字以上800文字以内
</t>
    </r>
    <phoneticPr fontId="2"/>
  </si>
  <si>
    <r>
      <t xml:space="preserve">AI利活用の妥当性・実現可能性
</t>
    </r>
    <r>
      <rPr>
        <sz val="10"/>
        <color rgb="FF000000"/>
        <rFont val="Meiryo UI"/>
        <family val="3"/>
        <charset val="128"/>
      </rPr>
      <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
</t>
    </r>
    <r>
      <rPr>
        <sz val="10"/>
        <color rgb="FFFF0000"/>
        <rFont val="Meiryo UI"/>
        <family val="3"/>
        <charset val="128"/>
      </rPr>
      <t>＜文字数制限＞
日本語：160文字以上800文字以内</t>
    </r>
    <r>
      <rPr>
        <b/>
        <sz val="10"/>
        <color rgb="FF000000"/>
        <rFont val="Meiryo UI"/>
        <family val="3"/>
        <charset val="128"/>
      </rPr>
      <t xml:space="preserve">
</t>
    </r>
    <phoneticPr fontId="2"/>
  </si>
  <si>
    <r>
      <rPr>
        <b/>
        <sz val="10"/>
        <color rgb="FF000000"/>
        <rFont val="Meiryo UI"/>
        <family val="3"/>
        <charset val="128"/>
      </rPr>
      <t>成果の公開方針（任意）</t>
    </r>
    <r>
      <rPr>
        <sz val="10"/>
        <color rgb="FF000000"/>
        <rFont val="Meiryo UI"/>
        <family val="3"/>
        <charset val="128"/>
      </rPr>
      <t xml:space="preserve">
研究により得られる成果について、公開を予定している内容及び公開方法を記載してください。
（例：論文、研究データ、ソースコード、プロトタイプ、報告書等）
</t>
    </r>
    <r>
      <rPr>
        <sz val="10"/>
        <color rgb="FFFF0000"/>
        <rFont val="Meiryo UI"/>
        <family val="3"/>
        <charset val="128"/>
      </rPr>
      <t>＜文字数制限＞
日本語：150文字以内</t>
    </r>
    <r>
      <rPr>
        <sz val="10"/>
        <color rgb="FF000000"/>
        <rFont val="Meiryo UI"/>
        <family val="3"/>
        <charset val="128"/>
      </rPr>
      <t xml:space="preserve">
</t>
    </r>
    <rPh sb="8" eb="10">
      <t>ニンイ</t>
    </rPh>
    <rPh sb="89" eb="94">
      <t>モジスウセイゲン</t>
    </rPh>
    <phoneticPr fontId="2"/>
  </si>
  <si>
    <r>
      <rPr>
        <b/>
        <sz val="10"/>
        <color rgb="FF000000"/>
        <rFont val="Meiryo UI"/>
        <family val="3"/>
        <charset val="128"/>
      </rPr>
      <t xml:space="preserve">研究業績等
</t>
    </r>
    <r>
      <rPr>
        <sz val="10"/>
        <color rgb="FF000000"/>
        <rFont val="Meiryo UI"/>
        <family val="3"/>
        <charset val="128"/>
      </rPr>
      <t>当該研究課題に関連して、主要な業績（学術論文・学会発表・著書のいずれか）を有する場合には、各セルに1件ずつ合計で最大5件まで、箇条書きで記載してください。
なお、当該業績については、</t>
    </r>
    <r>
      <rPr>
        <sz val="10"/>
        <color rgb="FFFF0000"/>
        <rFont val="Meiryo UI"/>
        <family val="3"/>
        <charset val="128"/>
      </rPr>
      <t xml:space="preserve">研究代表者本人を含む業績のみを記載ください。
</t>
    </r>
    <r>
      <rPr>
        <sz val="10"/>
        <color rgb="FF000000"/>
        <rFont val="Meiryo UI"/>
        <family val="3"/>
        <charset val="128"/>
      </rPr>
      <t xml:space="preserve">・学術論文：「題名」「著者名（本人に下線）」「掲載誌名」「発行年月」を記すこと。「被引用数」を付記してもよいが、その場合、情報源・取得日を明記すること。
・学会発表：「題名」「著者名（本人に下線）」「学会名」「発表年月」を記すこと。当該学会において受賞等があった場合、その旨を追記してもよい。
・著書：「書名」「著者名（本人に下線）」「発行所」「発行年月」を記すこと。「分担項目名」を記してもよい。
</t>
    </r>
    <phoneticPr fontId="2"/>
  </si>
  <si>
    <t>【参考：図の貼付】
研究内容の理解を促進するため、研究プロセスやAIの適用箇所等を示す図をこの欄より下に適宜貼付してください。
図は簡潔かつ分かりやすい構成とし、文章では伝わりにくい関係性や流れを補足するものとしてください（最大1枚）。
※セルに画像を挿入する必要はございません</t>
    <phoneticPr fontId="2"/>
  </si>
  <si>
    <t>3枚目</t>
    <rPh sb="1" eb="3">
      <t>マイメ</t>
    </rPh>
    <phoneticPr fontId="2"/>
  </si>
  <si>
    <t>研究経費とその必要性</t>
    <phoneticPr fontId="2"/>
  </si>
  <si>
    <t>注意事項
　■　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　総計欄は自動で計算されるようになっています。金額を記載の際には、必ず半角数字とし、千円未満の端数は切り捨ててください。
　■　間接経費は含まず、直接経費のみ記載ください。
　■　記入の際には、「はじめにご確認ください）記入にあたっての留意事項」および「参考）府省共通経費取扱区分表」を必ずご参照ください。
　■ 「その他」に API 又は計算資源（クラウド GPU を含む）に係る経費を計上する場合は、その内容の詳細を「研究計画調書_4枚目」に記入してください。
　■ また、計算資源を物品として取得し「設備備品費」として計上する場合についても、その内容の詳細を「研究計画調書_4枚目」に記入してください。</t>
    <rPh sb="0" eb="2">
      <t>チュウイ</t>
    </rPh>
    <rPh sb="2" eb="4">
      <t>ジコウ</t>
    </rPh>
    <phoneticPr fontId="2"/>
  </si>
  <si>
    <t>設備備品費、消耗品費</t>
    <phoneticPr fontId="2"/>
  </si>
  <si>
    <t>設備備品費の明細</t>
  </si>
  <si>
    <t>消耗品費の明細</t>
    <rPh sb="5" eb="7">
      <t>メイサイ</t>
    </rPh>
    <phoneticPr fontId="2"/>
  </si>
  <si>
    <t>事項</t>
    <phoneticPr fontId="2"/>
  </si>
  <si>
    <t>設置機関</t>
    <rPh sb="0" eb="2">
      <t>セッチ</t>
    </rPh>
    <rPh sb="2" eb="4">
      <t>キカン</t>
    </rPh>
    <phoneticPr fontId="2"/>
  </si>
  <si>
    <t>単価(千円)</t>
    <phoneticPr fontId="2"/>
  </si>
  <si>
    <t>数量</t>
    <rPh sb="0" eb="2">
      <t>スウリョウ</t>
    </rPh>
    <phoneticPr fontId="2"/>
  </si>
  <si>
    <t>金額(千円)</t>
  </si>
  <si>
    <t>設備備品費、消耗品費の必要性</t>
    <phoneticPr fontId="2"/>
  </si>
  <si>
    <t>謝金、旅費</t>
    <phoneticPr fontId="2"/>
  </si>
  <si>
    <t>謝金の明細</t>
    <phoneticPr fontId="2"/>
  </si>
  <si>
    <t>国内旅費の明細</t>
    <phoneticPr fontId="2"/>
  </si>
  <si>
    <t>外国旅費の明細</t>
    <phoneticPr fontId="2"/>
  </si>
  <si>
    <t>謝金、旅費の必要性</t>
  </si>
  <si>
    <t>その他費用</t>
    <rPh sb="3" eb="5">
      <t>ヒヨウ</t>
    </rPh>
    <phoneticPr fontId="2"/>
  </si>
  <si>
    <t>その他の明細</t>
    <rPh sb="2" eb="3">
      <t>タ</t>
    </rPh>
    <rPh sb="4" eb="6">
      <t>メイサイ</t>
    </rPh>
    <phoneticPr fontId="2"/>
  </si>
  <si>
    <t>再掲）注意事項</t>
    <rPh sb="0" eb="2">
      <t>サイケイ</t>
    </rPh>
    <rPh sb="3" eb="5">
      <t>チュウイ</t>
    </rPh>
    <rPh sb="5" eb="7">
      <t>ジコウ</t>
    </rPh>
    <phoneticPr fontId="2"/>
  </si>
  <si>
    <t>■</t>
    <phoneticPr fontId="2"/>
  </si>
  <si>
    <t>「その他」に API 又は計算資源（クラウド GPU を含む）に係る経費を計上する場合は、</t>
    <phoneticPr fontId="2"/>
  </si>
  <si>
    <t>その内容の詳細を「研究計画調書_4枚目」に記入してください。</t>
    <phoneticPr fontId="2"/>
  </si>
  <si>
    <t>また、計算資源を物品として取得し「設備備品費」として計上する場合についても、</t>
    <rPh sb="8" eb="10">
      <t>ブッピン</t>
    </rPh>
    <rPh sb="13" eb="15">
      <t>シュトク</t>
    </rPh>
    <phoneticPr fontId="2"/>
  </si>
  <si>
    <t>その他費用の必要性</t>
    <rPh sb="2" eb="3">
      <t>タ</t>
    </rPh>
    <rPh sb="3" eb="5">
      <t>ヒヨウ</t>
    </rPh>
    <rPh sb="6" eb="9">
      <t>ヒツヨウセイ</t>
    </rPh>
    <phoneticPr fontId="2"/>
  </si>
  <si>
    <t>4枚目</t>
    <rPh sb="1" eb="3">
      <t>マイメ</t>
    </rPh>
    <phoneticPr fontId="2"/>
  </si>
  <si>
    <t>注意事項
　■　本欄には、AIの利用に伴う費用の内訳について、項目ごとに整理して記載してください。
 　　　複数の用途がある場合や、複数種類のGPU等を利用する場合は、用途やGPU等の種類ごとに分けて記載してください。</t>
    <rPh sb="0" eb="2">
      <t>チュウイ</t>
    </rPh>
    <rPh sb="2" eb="4">
      <t>ジコウ</t>
    </rPh>
    <phoneticPr fontId="2"/>
  </si>
  <si>
    <t>費用詳細 API費用</t>
    <rPh sb="0" eb="2">
      <t>ヒヨウ</t>
    </rPh>
    <rPh sb="2" eb="4">
      <t>ショウサイ</t>
    </rPh>
    <rPh sb="8" eb="10">
      <t>ヒヨウ</t>
    </rPh>
    <phoneticPr fontId="2"/>
  </si>
  <si>
    <t>処理対象</t>
  </si>
  <si>
    <t>金額(千円)</t>
    <rPh sb="0" eb="2">
      <t>キンガク</t>
    </rPh>
    <rPh sb="3" eb="4">
      <t>セン</t>
    </rPh>
    <rPh sb="4" eb="5">
      <t>エン</t>
    </rPh>
    <phoneticPr fontId="1"/>
  </si>
  <si>
    <t>算定根拠（1回あたりの入力量/出力量、反応速度、再実行率等）</t>
  </si>
  <si>
    <t>費用詳細 計算資源費用 (クラウドGPU含む)</t>
    <rPh sb="0" eb="2">
      <t>ヒヨウ</t>
    </rPh>
    <rPh sb="2" eb="4">
      <t>ショウサイ</t>
    </rPh>
    <rPh sb="5" eb="7">
      <t>ケイサン</t>
    </rPh>
    <rPh sb="7" eb="9">
      <t>シゲン</t>
    </rPh>
    <rPh sb="9" eb="11">
      <t>ヒヨウ</t>
    </rPh>
    <rPh sb="20" eb="21">
      <t>フク</t>
    </rPh>
    <phoneticPr fontId="2"/>
  </si>
  <si>
    <t>GPU種類</t>
    <rPh sb="3" eb="5">
      <t>シュルイ</t>
    </rPh>
    <phoneticPr fontId="1"/>
  </si>
  <si>
    <t>当該GPUを選定した理由</t>
  </si>
  <si>
    <t>算定根拠（データ処理に係る量や頻度 等）</t>
  </si>
  <si>
    <t>研究領域</t>
    <rPh sb="0" eb="2">
      <t>ケンキュウ</t>
    </rPh>
    <rPh sb="2" eb="4">
      <t>リョウイキ</t>
    </rPh>
    <phoneticPr fontId="26"/>
  </si>
  <si>
    <t>ユースケース分類</t>
    <rPh sb="6" eb="8">
      <t>ブンルイ</t>
    </rPh>
    <phoneticPr fontId="26"/>
  </si>
  <si>
    <t>所属機関の区分</t>
    <rPh sb="0" eb="4">
      <t>ショゾクキカン</t>
    </rPh>
    <rPh sb="5" eb="7">
      <t>クブン</t>
    </rPh>
    <phoneticPr fontId="26"/>
  </si>
  <si>
    <t>応募者の属性区分</t>
    <rPh sb="0" eb="3">
      <t>オウボシャ</t>
    </rPh>
    <rPh sb="4" eb="6">
      <t>ゾクセイ</t>
    </rPh>
    <rPh sb="6" eb="8">
      <t>クブン</t>
    </rPh>
    <phoneticPr fontId="26"/>
  </si>
  <si>
    <t>1.学習用データセット構築</t>
    <phoneticPr fontId="2"/>
  </si>
  <si>
    <t>大学</t>
  </si>
  <si>
    <t>教員</t>
  </si>
  <si>
    <t>2.既存モデルの適応</t>
    <phoneticPr fontId="2"/>
  </si>
  <si>
    <t>高等専門学校</t>
  </si>
  <si>
    <t>研究員(ポスドク含む)</t>
    <rPh sb="8" eb="9">
      <t>フク</t>
    </rPh>
    <phoneticPr fontId="2"/>
  </si>
  <si>
    <t>3.AIモデル開発</t>
    <phoneticPr fontId="2"/>
  </si>
  <si>
    <t>公的研究機関</t>
  </si>
  <si>
    <t>博士課程学生</t>
  </si>
  <si>
    <t>4.既存モデル評価</t>
    <phoneticPr fontId="2"/>
  </si>
  <si>
    <t>民間企業</t>
  </si>
  <si>
    <t>修士課程学生</t>
  </si>
  <si>
    <t>5.実験自動化・自律化</t>
    <phoneticPr fontId="2"/>
  </si>
  <si>
    <t>非営利団体・公益法人</t>
  </si>
  <si>
    <t>学部学生</t>
  </si>
  <si>
    <t>電気工学・電子工学・情報科学・コンピューターサイエンス</t>
  </si>
  <si>
    <t>6.シミュレーション・デジタルツイン</t>
    <phoneticPr fontId="2"/>
  </si>
  <si>
    <t>その他（上記のいずれにも該当しない場合に限る）</t>
    <phoneticPr fontId="2"/>
  </si>
  <si>
    <t>技術職員・事務職員・URA等</t>
    <rPh sb="5" eb="9">
      <t>ジムショクイン</t>
    </rPh>
    <phoneticPr fontId="2"/>
  </si>
  <si>
    <t>7.発見・設計支援</t>
    <phoneticPr fontId="2"/>
  </si>
  <si>
    <t>技術者・開発者</t>
  </si>
  <si>
    <t>8.高度データ解析・モデリング</t>
    <phoneticPr fontId="2"/>
  </si>
  <si>
    <t>9.その他</t>
    <rPh sb="4" eb="5">
      <t>ホカ</t>
    </rPh>
    <phoneticPr fontId="2"/>
  </si>
  <si>
    <r>
      <t xml:space="preserve">達成目標
</t>
    </r>
    <r>
      <rPr>
        <sz val="10"/>
        <color rgb="FF000000"/>
        <rFont val="Meiryo UI"/>
        <family val="3"/>
        <charset val="128"/>
      </rPr>
      <t xml:space="preserve">本研究課題が最終的に目指す到達目標を簡潔に示した上で、本事業の研究実施期間（約180日）において達成を目指す事項を具体的に記載してください。なお、最終的な到達目標は、補助事業期間終了後に達成される目標や将来的な研究展開を含むものでも差し支えありません。
その上で、本事業の研究実施期間内において、当該最終目標に向けてどの段階まで研究を前進させるのかについて、中間（３か月後）及び補助事業期間終了時（６か月後）における到達目標や成果物を区分し、試作、PoC、予備的検証等を含めて具体的に記載してください。
</t>
    </r>
    <r>
      <rPr>
        <sz val="10"/>
        <color rgb="FFFF0000"/>
        <rFont val="Meiryo UI"/>
        <family val="3"/>
        <charset val="128"/>
      </rPr>
      <t xml:space="preserve">＜文字数制限＞
日本語：100文字以上500文字以内
</t>
    </r>
    <r>
      <rPr>
        <b/>
        <sz val="10"/>
        <color rgb="FF000000"/>
        <rFont val="Meiryo UI"/>
        <family val="3"/>
        <charset val="128"/>
      </rPr>
      <t xml:space="preserve">
</t>
    </r>
    <rPh sb="90" eb="92">
      <t>ジギョウ</t>
    </rPh>
    <rPh sb="196" eb="198">
      <t>ジギョウ</t>
    </rPh>
    <phoneticPr fontId="2"/>
  </si>
  <si>
    <r>
      <rPr>
        <b/>
        <sz val="10"/>
        <color rgb="FF000000"/>
        <rFont val="Meiryo UI"/>
        <family val="3"/>
        <charset val="128"/>
      </rPr>
      <t>AI利活用のノウハウ抽出・共有の実現計画</t>
    </r>
    <r>
      <rPr>
        <sz val="10"/>
        <color rgb="FF000000"/>
        <rFont val="Meiryo UI"/>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
</t>
    </r>
    <r>
      <rPr>
        <sz val="10"/>
        <color rgb="FFFF0000"/>
        <rFont val="Meiryo UI"/>
        <family val="3"/>
        <charset val="128"/>
      </rPr>
      <t>＜文字数制限＞</t>
    </r>
    <r>
      <rPr>
        <sz val="10"/>
        <color rgb="FF000000"/>
        <rFont val="Meiryo UI"/>
        <family val="3"/>
        <charset val="128"/>
      </rPr>
      <t xml:space="preserve">
</t>
    </r>
    <r>
      <rPr>
        <sz val="10"/>
        <color rgb="FFFF0000"/>
        <rFont val="Meiryo UI"/>
        <family val="3"/>
        <charset val="128"/>
      </rPr>
      <t>日本語：60文字以上300文以内</t>
    </r>
    <r>
      <rPr>
        <sz val="10"/>
        <color rgb="FF000000"/>
        <rFont val="Meiryo UI"/>
        <family val="3"/>
        <charset val="128"/>
      </rPr>
      <t xml:space="preserve">
</t>
    </r>
    <rPh sb="192" eb="197">
      <t>モジスウセイゲン</t>
    </rPh>
    <rPh sb="213" eb="215">
      <t>イナイ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</si>
</sst>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42">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sz val="10"/>
      <color rgb="FF000000"/>
      <name val="MS UI Gothic"/>
      <family val="3"/>
      <charset val="128"/>
    </font>
    <font>
      <b/>
      <u/>
      <sz val="10"/>
      <color indexed="8"/>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6"/>
      <name val="ＭＳ Ｐゴシック"/>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
      <b/>
      <sz val="10"/>
      <color rgb="FFFF0000"/>
      <name val="AR P丸ゴシック体M"/>
      <family val="3"/>
      <charset val="128"/>
    </font>
    <font>
      <b/>
      <u/>
      <sz val="10"/>
      <color rgb="FFFF0000"/>
      <name val="AR P丸ゴシック体M"/>
      <family val="3"/>
      <charset val="128"/>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top style="thin">
        <color indexed="64"/>
      </top>
      <bottom/>
      <diagonal style="thin">
        <color indexed="64"/>
      </diagonal>
    </border>
    <border diagonalDown="1">
      <left/>
      <right style="medium">
        <color indexed="64"/>
      </right>
      <top style="thin">
        <color indexed="64"/>
      </top>
      <bottom/>
      <diagonal style="thin">
        <color indexed="64"/>
      </diagonal>
    </border>
    <border>
      <left style="hair">
        <color indexed="64"/>
      </left>
      <right/>
      <top/>
      <bottom/>
      <diagonal/>
    </border>
    <border>
      <left/>
      <right style="thin">
        <color indexed="64"/>
      </right>
      <top/>
      <bottom/>
      <diagonal/>
    </border>
    <border diagonalDown="1">
      <left style="thin">
        <color indexed="64"/>
      </left>
      <right/>
      <top/>
      <bottom/>
      <diagonal style="thin">
        <color indexed="64"/>
      </diagonal>
    </border>
    <border diagonalDown="1">
      <left/>
      <right style="medium">
        <color indexed="64"/>
      </right>
      <top/>
      <bottom/>
      <diagonal style="thin">
        <color indexed="64"/>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medium">
        <color indexed="64"/>
      </right>
      <top/>
      <bottom/>
      <diagonal/>
    </border>
    <border diagonalDown="1">
      <left style="thin">
        <color indexed="64"/>
      </left>
      <right style="medium">
        <color indexed="64"/>
      </right>
      <top style="thin">
        <color indexed="64"/>
      </top>
      <bottom/>
      <diagonal style="thin">
        <color indexed="64"/>
      </diagonal>
    </border>
    <border diagonalDown="1">
      <left style="thin">
        <color indexed="64"/>
      </left>
      <right style="medium">
        <color indexed="64"/>
      </right>
      <top/>
      <bottom/>
      <diagonal style="thin">
        <color indexed="64"/>
      </diagonal>
    </border>
    <border diagonalDown="1">
      <left style="thin">
        <color indexed="64"/>
      </left>
      <right style="medium">
        <color indexed="64"/>
      </right>
      <top/>
      <bottom style="medium">
        <color indexed="64"/>
      </bottom>
      <diagonal style="thin">
        <color indexed="64"/>
      </diagonal>
    </border>
    <border>
      <left style="thin">
        <color indexed="64"/>
      </left>
      <right/>
      <top style="hair">
        <color indexed="64"/>
      </top>
      <bottom style="medium">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7" fillId="0" borderId="0">
      <alignment vertical="center"/>
    </xf>
    <xf numFmtId="40" fontId="1" fillId="0" borderId="0" applyFont="0" applyFill="0" applyBorder="0" applyAlignment="0" applyProtection="0">
      <alignment vertical="center"/>
    </xf>
  </cellStyleXfs>
  <cellXfs count="349">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center" vertical="center"/>
    </xf>
    <xf numFmtId="0" fontId="9" fillId="0" borderId="18" xfId="0" applyFont="1" applyBorder="1">
      <alignment vertical="center"/>
    </xf>
    <xf numFmtId="0" fontId="13" fillId="2" borderId="19" xfId="0" applyFont="1" applyFill="1" applyBorder="1">
      <alignment vertical="center"/>
    </xf>
    <xf numFmtId="0" fontId="13" fillId="3" borderId="20" xfId="0" applyFont="1" applyFill="1" applyBorder="1">
      <alignment vertical="center"/>
    </xf>
    <xf numFmtId="0" fontId="13" fillId="4" borderId="21" xfId="0" applyFont="1" applyFill="1" applyBorder="1">
      <alignment vertical="center"/>
    </xf>
    <xf numFmtId="0" fontId="13" fillId="5" borderId="21" xfId="0" applyFont="1" applyFill="1" applyBorder="1" applyAlignment="1">
      <alignment vertical="center" wrapText="1"/>
    </xf>
    <xf numFmtId="0" fontId="14" fillId="0" borderId="0" xfId="0" applyFont="1">
      <alignment vertical="center"/>
    </xf>
    <xf numFmtId="0" fontId="13" fillId="3" borderId="21" xfId="0" applyFont="1" applyFill="1" applyBorder="1">
      <alignment vertical="center"/>
    </xf>
    <xf numFmtId="0" fontId="15" fillId="0" borderId="23" xfId="0" applyFont="1" applyBorder="1" applyAlignment="1">
      <alignment vertical="center" wrapText="1"/>
    </xf>
    <xf numFmtId="0" fontId="17" fillId="5" borderId="23" xfId="0" applyFont="1" applyFill="1" applyBorder="1" applyAlignment="1">
      <alignment vertical="center" wrapText="1"/>
    </xf>
    <xf numFmtId="0" fontId="13" fillId="3" borderId="26" xfId="0" applyFont="1" applyFill="1" applyBorder="1">
      <alignment vertical="center"/>
    </xf>
    <xf numFmtId="0" fontId="18" fillId="0" borderId="27" xfId="0" applyFont="1" applyBorder="1" applyAlignment="1">
      <alignment vertical="center" wrapText="1"/>
    </xf>
    <xf numFmtId="0" fontId="16" fillId="5" borderId="27" xfId="0" applyFont="1" applyFill="1" applyBorder="1" applyAlignment="1">
      <alignment vertical="center" wrapText="1"/>
    </xf>
    <xf numFmtId="0" fontId="17" fillId="5" borderId="27" xfId="0" applyFont="1" applyFill="1" applyBorder="1" applyAlignment="1">
      <alignment vertical="center" wrapText="1"/>
    </xf>
    <xf numFmtId="0" fontId="13" fillId="7" borderId="26" xfId="0" applyFont="1" applyFill="1" applyBorder="1">
      <alignment vertical="center"/>
    </xf>
    <xf numFmtId="0" fontId="15" fillId="7" borderId="28" xfId="0" applyFont="1" applyFill="1" applyBorder="1" applyAlignment="1">
      <alignment vertical="center" wrapText="1"/>
    </xf>
    <xf numFmtId="0" fontId="16" fillId="5" borderId="29" xfId="0" applyFont="1" applyFill="1" applyBorder="1" applyAlignment="1">
      <alignment vertical="center" wrapText="1"/>
    </xf>
    <xf numFmtId="0" fontId="17" fillId="5" borderId="28" xfId="0" applyFont="1" applyFill="1" applyBorder="1" applyAlignment="1">
      <alignment vertical="center" wrapText="1"/>
    </xf>
    <xf numFmtId="0" fontId="18" fillId="0" borderId="30" xfId="0" applyFont="1" applyBorder="1" applyAlignment="1">
      <alignment vertical="center" wrapText="1"/>
    </xf>
    <xf numFmtId="0" fontId="16" fillId="5" borderId="30" xfId="0" applyFont="1" applyFill="1" applyBorder="1" applyAlignment="1">
      <alignment vertical="center" wrapText="1"/>
    </xf>
    <xf numFmtId="0" fontId="13" fillId="2" borderId="31" xfId="0" applyFont="1" applyFill="1" applyBorder="1">
      <alignment vertical="center"/>
    </xf>
    <xf numFmtId="0" fontId="15" fillId="0" borderId="28" xfId="0" applyFont="1" applyBorder="1" applyAlignment="1">
      <alignment vertical="center" wrapText="1"/>
    </xf>
    <xf numFmtId="0" fontId="16" fillId="5" borderId="32" xfId="0" applyFont="1" applyFill="1" applyBorder="1" applyAlignment="1">
      <alignment vertical="center" wrapText="1"/>
    </xf>
    <xf numFmtId="0" fontId="16" fillId="5" borderId="28" xfId="0" applyFont="1" applyFill="1" applyBorder="1" applyAlignment="1">
      <alignment vertical="center" wrapText="1"/>
    </xf>
    <xf numFmtId="0" fontId="13" fillId="3" borderId="26" xfId="0" applyFont="1" applyFill="1" applyBorder="1" applyAlignment="1">
      <alignment vertical="center" wrapText="1"/>
    </xf>
    <xf numFmtId="0" fontId="16" fillId="5" borderId="33" xfId="0" applyFont="1" applyFill="1" applyBorder="1" applyAlignment="1">
      <alignment vertical="center" wrapText="1"/>
    </xf>
    <xf numFmtId="0" fontId="16" fillId="5" borderId="34" xfId="0" applyFont="1" applyFill="1" applyBorder="1" applyAlignment="1">
      <alignment vertical="center" wrapText="1"/>
    </xf>
    <xf numFmtId="0" fontId="17" fillId="5" borderId="34" xfId="0" applyFont="1" applyFill="1" applyBorder="1" applyAlignment="1">
      <alignment vertical="center" wrapText="1"/>
    </xf>
    <xf numFmtId="0" fontId="13" fillId="3" borderId="30" xfId="0" applyFont="1" applyFill="1" applyBorder="1">
      <alignment vertical="center"/>
    </xf>
    <xf numFmtId="0" fontId="15" fillId="0" borderId="27" xfId="0" applyFont="1" applyBorder="1" applyAlignment="1">
      <alignment vertical="center" wrapText="1"/>
    </xf>
    <xf numFmtId="0" fontId="16" fillId="5" borderId="26" xfId="0" applyFont="1" applyFill="1" applyBorder="1" applyAlignment="1">
      <alignment vertical="center" wrapText="1"/>
    </xf>
    <xf numFmtId="0" fontId="13" fillId="3" borderId="27" xfId="0" applyFont="1" applyFill="1" applyBorder="1" applyAlignment="1">
      <alignment vertical="center" wrapText="1"/>
    </xf>
    <xf numFmtId="0" fontId="17" fillId="5" borderId="30" xfId="0" applyFont="1" applyFill="1" applyBorder="1" applyAlignment="1">
      <alignment vertical="center" wrapText="1"/>
    </xf>
    <xf numFmtId="0" fontId="13" fillId="7" borderId="37" xfId="0" applyFont="1" applyFill="1" applyBorder="1" applyAlignment="1">
      <alignment vertical="center" wrapText="1"/>
    </xf>
    <xf numFmtId="0" fontId="15" fillId="7" borderId="37" xfId="0" applyFont="1" applyFill="1" applyBorder="1" applyAlignment="1">
      <alignment vertical="center" wrapText="1"/>
    </xf>
    <xf numFmtId="0" fontId="16" fillId="5" borderId="38" xfId="0" applyFont="1" applyFill="1" applyBorder="1" applyAlignment="1">
      <alignment vertical="center" wrapText="1"/>
    </xf>
    <xf numFmtId="0" fontId="17" fillId="5" borderId="37" xfId="0" applyFont="1" applyFill="1" applyBorder="1" applyAlignment="1">
      <alignment vertical="center" wrapText="1"/>
    </xf>
    <xf numFmtId="0" fontId="13" fillId="0" borderId="0" xfId="0" applyFont="1" applyAlignment="1">
      <alignment horizontal="center" vertical="center" textRotation="255"/>
    </xf>
    <xf numFmtId="0" fontId="13" fillId="0" borderId="0" xfId="0" applyFont="1">
      <alignment vertical="center"/>
    </xf>
    <xf numFmtId="0" fontId="14" fillId="0" borderId="0" xfId="0" applyFont="1" applyAlignment="1">
      <alignment vertical="center" wrapText="1"/>
    </xf>
    <xf numFmtId="0" fontId="16" fillId="0" borderId="0" xfId="0" applyFont="1" applyAlignment="1">
      <alignment vertical="top" wrapText="1"/>
    </xf>
    <xf numFmtId="0" fontId="15" fillId="0" borderId="42" xfId="0" applyFont="1" applyBorder="1" applyAlignment="1">
      <alignment vertical="center" wrapText="1"/>
    </xf>
    <xf numFmtId="0" fontId="16" fillId="9" borderId="42" xfId="0" applyFont="1" applyFill="1" applyBorder="1" applyAlignment="1">
      <alignment vertical="top" wrapText="1"/>
    </xf>
    <xf numFmtId="0" fontId="13" fillId="0" borderId="0" xfId="0" applyFont="1" applyAlignment="1">
      <alignment horizontal="left" vertical="center" wrapText="1" shrinkToFit="1"/>
    </xf>
    <xf numFmtId="0" fontId="13" fillId="0" borderId="0" xfId="0" applyFont="1" applyAlignment="1">
      <alignment horizontal="left" vertical="center" shrinkToFit="1"/>
    </xf>
    <xf numFmtId="0" fontId="15" fillId="7" borderId="42" xfId="0" applyFont="1" applyFill="1" applyBorder="1" applyAlignment="1">
      <alignment vertical="center" wrapText="1"/>
    </xf>
    <xf numFmtId="0" fontId="16" fillId="9" borderId="42" xfId="0" applyFont="1" applyFill="1" applyBorder="1" applyAlignment="1">
      <alignment horizontal="left" vertical="center" wrapText="1"/>
    </xf>
    <xf numFmtId="0" fontId="17" fillId="9" borderId="42"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21" fillId="10" borderId="0" xfId="1" applyFont="1" applyFill="1" applyAlignment="1">
      <alignment vertical="top"/>
    </xf>
    <xf numFmtId="0" fontId="5" fillId="11" borderId="0" xfId="1" applyFont="1" applyFill="1" applyAlignment="1">
      <alignment horizontal="left" vertical="top"/>
    </xf>
    <xf numFmtId="0" fontId="21" fillId="11" borderId="0" xfId="1" applyFont="1" applyFill="1" applyAlignment="1">
      <alignment vertical="top" wrapText="1"/>
    </xf>
    <xf numFmtId="0" fontId="5" fillId="11" borderId="0" xfId="1" applyFont="1" applyFill="1" applyAlignment="1">
      <alignment vertical="top"/>
    </xf>
    <xf numFmtId="0" fontId="22" fillId="11" borderId="0" xfId="1" applyFont="1" applyFill="1" applyAlignment="1">
      <alignment vertical="top"/>
    </xf>
    <xf numFmtId="0" fontId="22" fillId="11" borderId="0" xfId="1" applyFont="1" applyFill="1" applyAlignment="1">
      <alignment horizontal="left" vertical="top"/>
    </xf>
    <xf numFmtId="0" fontId="22" fillId="11" borderId="0" xfId="1" applyFont="1" applyFill="1" applyAlignment="1">
      <alignment horizontal="right" vertical="top"/>
    </xf>
    <xf numFmtId="0" fontId="5" fillId="11" borderId="49" xfId="1" applyFont="1" applyFill="1" applyBorder="1" applyAlignment="1">
      <alignment horizontal="left" vertical="top"/>
    </xf>
    <xf numFmtId="0" fontId="25" fillId="11" borderId="0" xfId="1" applyFont="1" applyFill="1" applyAlignment="1">
      <alignment horizontal="left" vertical="top"/>
    </xf>
    <xf numFmtId="0" fontId="5" fillId="11" borderId="0" xfId="1" applyFont="1" applyFill="1" applyAlignment="1">
      <alignment horizontal="center" vertical="top"/>
    </xf>
    <xf numFmtId="0" fontId="5" fillId="12" borderId="51" xfId="1" applyFont="1" applyFill="1" applyBorder="1" applyAlignment="1" applyProtection="1">
      <alignment horizontal="center" vertical="top"/>
      <protection locked="0"/>
    </xf>
    <xf numFmtId="0" fontId="5" fillId="11" borderId="51" xfId="1" applyFont="1" applyFill="1" applyBorder="1" applyAlignment="1">
      <alignment horizontal="left" vertical="top" wrapText="1"/>
    </xf>
    <xf numFmtId="0" fontId="5" fillId="12" borderId="57" xfId="1" applyFont="1" applyFill="1" applyBorder="1" applyAlignment="1" applyProtection="1">
      <alignment horizontal="center" vertical="top"/>
      <protection locked="0"/>
    </xf>
    <xf numFmtId="0" fontId="5" fillId="11" borderId="51" xfId="1" applyFont="1" applyFill="1" applyBorder="1" applyAlignment="1">
      <alignment horizontal="left" vertical="top"/>
    </xf>
    <xf numFmtId="0" fontId="5" fillId="11" borderId="58" xfId="1" applyFont="1" applyFill="1" applyBorder="1" applyAlignment="1">
      <alignment horizontal="left" vertical="top"/>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61" xfId="1" applyFont="1" applyFill="1" applyBorder="1" applyAlignment="1" applyProtection="1">
      <alignment horizontal="center" vertical="top" wrapText="1"/>
      <protection locked="0"/>
    </xf>
    <xf numFmtId="0" fontId="5" fillId="11" borderId="62" xfId="1" applyFont="1" applyFill="1" applyBorder="1" applyAlignment="1">
      <alignment horizontal="left" vertical="top" wrapText="1"/>
    </xf>
    <xf numFmtId="0" fontId="4" fillId="11" borderId="0" xfId="1" applyFill="1" applyAlignment="1">
      <alignment horizontal="left" vertical="top"/>
    </xf>
    <xf numFmtId="0" fontId="5" fillId="12" borderId="65" xfId="1" applyFont="1" applyFill="1" applyBorder="1" applyAlignment="1" applyProtection="1">
      <alignment horizontal="center" vertical="top"/>
      <protection locked="0"/>
    </xf>
    <xf numFmtId="0" fontId="28" fillId="11" borderId="66" xfId="1" applyFont="1" applyFill="1" applyBorder="1" applyAlignment="1">
      <alignment vertical="top" wrapText="1"/>
    </xf>
    <xf numFmtId="0" fontId="28" fillId="11" borderId="65" xfId="1" applyFont="1" applyFill="1" applyBorder="1" applyAlignment="1">
      <alignment vertical="top" wrapText="1"/>
    </xf>
    <xf numFmtId="0" fontId="5" fillId="12" borderId="67" xfId="1" applyFont="1" applyFill="1" applyBorder="1" applyAlignment="1" applyProtection="1">
      <alignment horizontal="center" vertical="top"/>
      <protection locked="0"/>
    </xf>
    <xf numFmtId="0" fontId="28" fillId="11" borderId="20" xfId="1" applyFont="1" applyFill="1" applyBorder="1" applyAlignment="1">
      <alignment vertical="top" wrapText="1"/>
    </xf>
    <xf numFmtId="0" fontId="28" fillId="11" borderId="68" xfId="1" applyFont="1" applyFill="1" applyBorder="1" applyAlignment="1">
      <alignment vertical="top" wrapText="1"/>
    </xf>
    <xf numFmtId="0" fontId="28" fillId="11" borderId="0" xfId="1" applyFont="1" applyFill="1" applyAlignment="1">
      <alignment vertical="top" wrapText="1"/>
    </xf>
    <xf numFmtId="0" fontId="5" fillId="12" borderId="61" xfId="1" applyFont="1" applyFill="1" applyBorder="1" applyAlignment="1" applyProtection="1">
      <alignment horizontal="center" vertical="top"/>
      <protection locked="0"/>
    </xf>
    <xf numFmtId="0" fontId="28" fillId="11" borderId="53" xfId="1" applyFont="1" applyFill="1" applyBorder="1" applyAlignment="1">
      <alignment vertical="top" wrapText="1"/>
    </xf>
    <xf numFmtId="0" fontId="5" fillId="11" borderId="70" xfId="1" applyFont="1" applyFill="1" applyBorder="1" applyAlignment="1">
      <alignment vertical="top"/>
    </xf>
    <xf numFmtId="0" fontId="5" fillId="11" borderId="71" xfId="1" applyFont="1" applyFill="1" applyBorder="1" applyAlignment="1">
      <alignment vertical="top"/>
    </xf>
    <xf numFmtId="0" fontId="5" fillId="11" borderId="23" xfId="1" applyFont="1" applyFill="1" applyBorder="1" applyAlignment="1">
      <alignment vertical="top"/>
    </xf>
    <xf numFmtId="0" fontId="5" fillId="11" borderId="76" xfId="1" applyFont="1" applyFill="1" applyBorder="1" applyAlignment="1">
      <alignment horizontal="left" vertical="top"/>
    </xf>
    <xf numFmtId="0" fontId="5" fillId="11" borderId="77" xfId="1" applyFont="1" applyFill="1" applyBorder="1" applyAlignment="1">
      <alignment vertical="top"/>
    </xf>
    <xf numFmtId="176" fontId="5" fillId="10" borderId="0" xfId="1" applyNumberFormat="1" applyFont="1" applyFill="1" applyAlignment="1">
      <alignment horizontal="center" vertical="top" shrinkToFit="1"/>
    </xf>
    <xf numFmtId="0" fontId="29" fillId="10" borderId="0" xfId="1" applyFont="1" applyFill="1" applyAlignment="1">
      <alignment horizontal="center" vertical="top" wrapText="1"/>
    </xf>
    <xf numFmtId="0" fontId="5" fillId="11" borderId="0" xfId="1" applyFont="1" applyFill="1" applyAlignment="1">
      <alignment horizontal="center" vertical="top" wrapText="1"/>
    </xf>
    <xf numFmtId="0" fontId="33"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22" fillId="11" borderId="22" xfId="1" applyFont="1" applyFill="1" applyBorder="1" applyAlignment="1">
      <alignment vertical="top" wrapText="1"/>
    </xf>
    <xf numFmtId="0" fontId="22" fillId="11" borderId="25" xfId="1" applyFont="1" applyFill="1" applyBorder="1" applyAlignment="1">
      <alignment vertical="top" wrapText="1"/>
    </xf>
    <xf numFmtId="0" fontId="22" fillId="11" borderId="7" xfId="1" applyFont="1" applyFill="1" applyBorder="1" applyAlignment="1">
      <alignment horizontal="left" vertical="top" wrapText="1"/>
    </xf>
    <xf numFmtId="0" fontId="22" fillId="11" borderId="89" xfId="1" applyFont="1" applyFill="1" applyBorder="1" applyAlignment="1">
      <alignment horizontal="left" vertical="top" wrapText="1"/>
    </xf>
    <xf numFmtId="0" fontId="22" fillId="11" borderId="7" xfId="1" applyFont="1" applyFill="1" applyBorder="1" applyAlignment="1">
      <alignment horizontal="left" vertical="top"/>
    </xf>
    <xf numFmtId="0" fontId="34" fillId="11" borderId="25" xfId="1" applyFont="1" applyFill="1" applyBorder="1" applyAlignment="1">
      <alignment horizontal="left" vertical="top"/>
    </xf>
    <xf numFmtId="0" fontId="22" fillId="11" borderId="4" xfId="1" applyFont="1" applyFill="1" applyBorder="1" applyAlignment="1">
      <alignment horizontal="left" vertical="top"/>
    </xf>
    <xf numFmtId="0" fontId="22" fillId="11" borderId="25" xfId="1" applyFont="1" applyFill="1" applyBorder="1" applyAlignment="1">
      <alignment horizontal="left" vertical="top"/>
    </xf>
    <xf numFmtId="0" fontId="22" fillId="11" borderId="83" xfId="1" applyFont="1" applyFill="1" applyBorder="1" applyAlignment="1">
      <alignment horizontal="left" vertical="top" wrapText="1"/>
    </xf>
    <xf numFmtId="0" fontId="22" fillId="11" borderId="7" xfId="1" applyFont="1" applyFill="1" applyBorder="1" applyAlignment="1">
      <alignment vertical="top" wrapText="1"/>
    </xf>
    <xf numFmtId="0" fontId="34" fillId="11" borderId="25" xfId="1" applyFont="1" applyFill="1" applyBorder="1" applyAlignment="1">
      <alignment horizontal="left" vertical="top" wrapText="1"/>
    </xf>
    <xf numFmtId="0" fontId="22" fillId="11" borderId="22" xfId="1" applyFont="1" applyFill="1" applyBorder="1" applyAlignment="1">
      <alignment horizontal="left" vertical="top" wrapText="1"/>
    </xf>
    <xf numFmtId="0" fontId="5" fillId="11" borderId="83" xfId="1" applyFont="1" applyFill="1" applyBorder="1" applyAlignment="1">
      <alignment horizontal="left" vertical="top" wrapText="1"/>
    </xf>
    <xf numFmtId="0" fontId="22" fillId="11" borderId="22" xfId="1" applyFont="1" applyFill="1" applyBorder="1" applyAlignment="1">
      <alignment horizontal="left" vertical="top"/>
    </xf>
    <xf numFmtId="0" fontId="24" fillId="11" borderId="25" xfId="1" applyFont="1" applyFill="1" applyBorder="1" applyAlignment="1">
      <alignment horizontal="left" vertical="top" wrapText="1"/>
    </xf>
    <xf numFmtId="0" fontId="5" fillId="11" borderId="25" xfId="1" applyFont="1" applyFill="1" applyBorder="1" applyAlignment="1">
      <alignment horizontal="left" vertical="top"/>
    </xf>
    <xf numFmtId="0" fontId="5" fillId="11" borderId="83" xfId="1" applyFont="1" applyFill="1" applyBorder="1" applyAlignment="1">
      <alignment horizontal="left" vertical="top"/>
    </xf>
    <xf numFmtId="0" fontId="21"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7" fillId="18" borderId="1" xfId="0" applyFont="1" applyFill="1" applyBorder="1" applyAlignment="1">
      <alignment horizontal="left" vertical="top" wrapText="1"/>
    </xf>
    <xf numFmtId="0" fontId="38" fillId="17" borderId="0" xfId="0" applyFont="1" applyFill="1">
      <alignment vertical="center"/>
    </xf>
    <xf numFmtId="0" fontId="38"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8" fillId="18" borderId="1" xfId="0" applyFont="1" applyFill="1" applyBorder="1" applyAlignment="1">
      <alignment vertical="top" wrapText="1"/>
    </xf>
    <xf numFmtId="0" fontId="38" fillId="18" borderId="2" xfId="0" applyFont="1" applyFill="1" applyBorder="1" applyAlignment="1">
      <alignment vertical="top" wrapText="1"/>
    </xf>
    <xf numFmtId="0" fontId="3" fillId="0" borderId="90" xfId="0" applyFont="1" applyBorder="1" applyAlignment="1">
      <alignment vertical="top" wrapText="1"/>
    </xf>
    <xf numFmtId="0" fontId="3" fillId="0" borderId="93" xfId="0" applyFont="1" applyBorder="1" applyAlignment="1">
      <alignment vertical="top" wrapText="1"/>
    </xf>
    <xf numFmtId="0" fontId="3" fillId="0" borderId="95" xfId="0" applyFont="1" applyBorder="1" applyAlignment="1">
      <alignment vertical="top" wrapText="1"/>
    </xf>
    <xf numFmtId="0" fontId="3" fillId="0" borderId="98" xfId="0" applyFont="1" applyBorder="1" applyAlignment="1">
      <alignment vertical="top" wrapText="1"/>
    </xf>
    <xf numFmtId="0" fontId="3" fillId="0" borderId="100" xfId="0" applyFont="1" applyBorder="1" applyAlignment="1">
      <alignment vertical="top" wrapText="1"/>
    </xf>
    <xf numFmtId="0" fontId="3" fillId="0" borderId="101" xfId="0" applyFont="1" applyBorder="1" applyAlignment="1">
      <alignment vertical="top" wrapText="1"/>
    </xf>
    <xf numFmtId="0" fontId="36" fillId="7" borderId="4" xfId="1" applyFont="1" applyFill="1" applyBorder="1" applyAlignment="1">
      <alignment horizontal="left" vertical="top" wrapText="1"/>
    </xf>
    <xf numFmtId="0" fontId="36" fillId="7" borderId="6" xfId="1" applyFont="1" applyFill="1" applyBorder="1" applyAlignment="1">
      <alignment horizontal="left" vertical="top"/>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5" fillId="16" borderId="0" xfId="1" applyFont="1" applyFill="1" applyAlignment="1">
      <alignment horizontal="left" vertical="top"/>
    </xf>
    <xf numFmtId="0" fontId="36" fillId="7" borderId="13" xfId="1" applyFont="1" applyFill="1" applyBorder="1" applyAlignment="1">
      <alignment vertical="top"/>
    </xf>
    <xf numFmtId="0" fontId="22"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8" xfId="3" applyNumberFormat="1" applyFont="1" applyFill="1" applyBorder="1" applyAlignment="1">
      <alignment horizontal="right" vertical="top"/>
    </xf>
    <xf numFmtId="38" fontId="5" fillId="12" borderId="81" xfId="3" applyNumberFormat="1" applyFont="1" applyFill="1" applyBorder="1" applyAlignment="1">
      <alignment horizontal="right" vertical="top"/>
    </xf>
    <xf numFmtId="0" fontId="3" fillId="0" borderId="8" xfId="0" applyFont="1" applyBorder="1" applyAlignment="1">
      <alignment horizontal="left" vertical="top" wrapText="1"/>
    </xf>
    <xf numFmtId="0" fontId="5" fillId="15" borderId="70"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7" fillId="5" borderId="33" xfId="0" applyFont="1" applyFill="1" applyBorder="1" applyAlignment="1">
      <alignment vertical="center" wrapText="1"/>
    </xf>
    <xf numFmtId="0" fontId="22" fillId="11" borderId="106" xfId="1" applyFont="1" applyFill="1" applyBorder="1" applyAlignment="1">
      <alignment vertical="top" wrapText="1"/>
    </xf>
    <xf numFmtId="0" fontId="33" fillId="13" borderId="0" xfId="1" applyFont="1" applyFill="1" applyAlignment="1">
      <alignment horizontal="left" vertical="top"/>
    </xf>
    <xf numFmtId="0" fontId="5" fillId="10" borderId="0" xfId="1" applyFont="1" applyFill="1" applyAlignment="1">
      <alignment horizontal="right" vertical="top"/>
    </xf>
    <xf numFmtId="0" fontId="4" fillId="10" borderId="0" xfId="1" applyFill="1" applyAlignment="1">
      <alignment horizontal="left" vertical="top"/>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37" fillId="18" borderId="2" xfId="0" applyFont="1" applyFill="1" applyBorder="1" applyAlignment="1">
      <alignment horizontal="left" vertical="top" wrapText="1"/>
    </xf>
    <xf numFmtId="0" fontId="3" fillId="0" borderId="10" xfId="0" applyFont="1" applyBorder="1" applyAlignment="1">
      <alignment horizontal="left" vertical="top" wrapText="1"/>
    </xf>
    <xf numFmtId="0" fontId="5" fillId="11" borderId="75" xfId="1" applyFont="1" applyFill="1" applyBorder="1" applyAlignment="1">
      <alignment horizontal="left" vertical="top"/>
    </xf>
    <xf numFmtId="38" fontId="5" fillId="12" borderId="80" xfId="3" applyNumberFormat="1" applyFont="1" applyFill="1" applyBorder="1" applyAlignment="1">
      <alignment horizontal="right" vertical="top"/>
    </xf>
    <xf numFmtId="0" fontId="5" fillId="11" borderId="0" xfId="1" applyFont="1" applyFill="1" applyAlignment="1">
      <alignment horizontal="left" vertical="top" wrapText="1"/>
    </xf>
    <xf numFmtId="0" fontId="33" fillId="15" borderId="102" xfId="1" applyFont="1" applyFill="1" applyBorder="1" applyAlignment="1">
      <alignment horizontal="left" vertical="top"/>
    </xf>
    <xf numFmtId="0" fontId="36" fillId="7" borderId="12" xfId="1" applyFont="1" applyFill="1" applyBorder="1" applyAlignment="1">
      <alignment horizontal="left" vertical="top"/>
    </xf>
    <xf numFmtId="0" fontId="36" fillId="7" borderId="12" xfId="1" applyFont="1" applyFill="1" applyBorder="1" applyAlignment="1">
      <alignment vertical="top"/>
    </xf>
    <xf numFmtId="0" fontId="5" fillId="12" borderId="0" xfId="1" applyFont="1" applyFill="1" applyAlignment="1" applyProtection="1">
      <alignment horizontal="right" vertical="top"/>
      <protection locked="0"/>
    </xf>
    <xf numFmtId="0" fontId="5" fillId="12" borderId="15" xfId="1" applyFont="1" applyFill="1" applyBorder="1" applyAlignment="1" applyProtection="1">
      <alignment horizontal="left" vertical="top"/>
      <protection locked="0"/>
    </xf>
    <xf numFmtId="0" fontId="5" fillId="12" borderId="30" xfId="1" applyFont="1" applyFill="1" applyBorder="1" applyAlignment="1" applyProtection="1">
      <alignment vertical="top"/>
      <protection locked="0"/>
    </xf>
    <xf numFmtId="0" fontId="5" fillId="0" borderId="82"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8" xfId="1" applyFont="1" applyBorder="1" applyAlignment="1" applyProtection="1">
      <alignment horizontal="left" vertical="top" wrapText="1"/>
      <protection locked="0"/>
    </xf>
    <xf numFmtId="0" fontId="5" fillId="12" borderId="12"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0" fontId="5" fillId="12" borderId="88" xfId="1" applyFont="1" applyFill="1" applyBorder="1" applyAlignment="1" applyProtection="1">
      <alignment horizontal="left" vertical="top" wrapText="1"/>
      <protection locked="0"/>
    </xf>
    <xf numFmtId="38" fontId="5" fillId="12" borderId="88"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11" xfId="1" applyFont="1" applyFill="1" applyBorder="1" applyAlignment="1" applyProtection="1">
      <alignment horizontal="left" vertical="top" wrapText="1"/>
      <protection locked="0"/>
    </xf>
    <xf numFmtId="0" fontId="5" fillId="12" borderId="0" xfId="1" applyFont="1" applyFill="1" applyAlignment="1">
      <alignment horizontal="left" vertical="top" wrapText="1"/>
    </xf>
    <xf numFmtId="0" fontId="5" fillId="12" borderId="43" xfId="1" applyFont="1" applyFill="1" applyBorder="1" applyAlignment="1">
      <alignment vertical="top" wrapText="1"/>
    </xf>
    <xf numFmtId="0" fontId="5" fillId="12" borderId="44" xfId="1" applyFont="1" applyFill="1" applyBorder="1" applyAlignment="1">
      <alignment horizontal="left" vertical="top" wrapText="1"/>
    </xf>
    <xf numFmtId="0" fontId="5" fillId="12" borderId="21" xfId="1" applyFont="1" applyFill="1" applyBorder="1" applyAlignment="1">
      <alignment vertical="top" wrapText="1"/>
    </xf>
    <xf numFmtId="0" fontId="5" fillId="12" borderId="45" xfId="1" applyFont="1" applyFill="1" applyBorder="1" applyAlignment="1">
      <alignment vertical="top" wrapText="1"/>
    </xf>
    <xf numFmtId="0" fontId="5" fillId="12" borderId="53" xfId="1" applyFont="1" applyFill="1" applyBorder="1" applyAlignment="1">
      <alignment vertical="top" wrapText="1"/>
    </xf>
    <xf numFmtId="0" fontId="5" fillId="12" borderId="54" xfId="1" applyFont="1" applyFill="1" applyBorder="1" applyAlignment="1">
      <alignment vertical="top" wrapText="1"/>
    </xf>
    <xf numFmtId="0" fontId="5" fillId="12" borderId="84" xfId="1" applyFont="1" applyFill="1" applyBorder="1" applyAlignment="1">
      <alignment horizontal="left" vertical="top" wrapText="1"/>
    </xf>
    <xf numFmtId="0" fontId="5" fillId="12" borderId="37" xfId="1" applyFont="1" applyFill="1" applyBorder="1" applyAlignment="1">
      <alignment vertical="top" wrapText="1"/>
    </xf>
    <xf numFmtId="40" fontId="5" fillId="0" borderId="0" xfId="3" applyFont="1" applyFill="1" applyAlignment="1" applyProtection="1">
      <alignment horizontal="left" vertical="top"/>
    </xf>
    <xf numFmtId="40" fontId="5" fillId="0" borderId="0" xfId="3" applyFont="1" applyFill="1" applyAlignment="1" applyProtection="1">
      <alignment horizontal="left" vertical="top" wrapText="1"/>
    </xf>
    <xf numFmtId="0" fontId="35" fillId="14" borderId="6" xfId="1" applyFont="1" applyFill="1" applyBorder="1" applyAlignment="1">
      <alignment horizontal="left" vertical="top"/>
    </xf>
    <xf numFmtId="0" fontId="39" fillId="0" borderId="6" xfId="1" applyFont="1" applyBorder="1" applyAlignment="1">
      <alignment horizontal="left" vertical="top"/>
    </xf>
    <xf numFmtId="0" fontId="5" fillId="11" borderId="48" xfId="1" applyFont="1" applyFill="1" applyBorder="1" applyAlignment="1">
      <alignment vertical="top"/>
    </xf>
    <xf numFmtId="0" fontId="22" fillId="11" borderId="82" xfId="1" applyFont="1" applyFill="1" applyBorder="1" applyAlignment="1">
      <alignment horizontal="left" vertical="top" wrapText="1"/>
    </xf>
    <xf numFmtId="0" fontId="5" fillId="11" borderId="82" xfId="1" applyFont="1" applyFill="1" applyBorder="1" applyAlignment="1">
      <alignment horizontal="left" vertical="top" wrapText="1"/>
    </xf>
    <xf numFmtId="0" fontId="5" fillId="11" borderId="7" xfId="1" applyFont="1" applyFill="1" applyBorder="1" applyAlignment="1">
      <alignment vertical="top"/>
    </xf>
    <xf numFmtId="0" fontId="5" fillId="11" borderId="49" xfId="1" applyFont="1" applyFill="1" applyBorder="1" applyAlignment="1">
      <alignment horizontal="left" vertical="top" wrapText="1"/>
    </xf>
    <xf numFmtId="0" fontId="5" fillId="11" borderId="25" xfId="1" applyFont="1" applyFill="1" applyBorder="1" applyAlignment="1">
      <alignment vertical="top"/>
    </xf>
    <xf numFmtId="0" fontId="5" fillId="11" borderId="83" xfId="1" applyFont="1" applyFill="1" applyBorder="1" applyAlignment="1">
      <alignment vertical="top"/>
    </xf>
    <xf numFmtId="0" fontId="21" fillId="10" borderId="0" xfId="1" applyFont="1" applyFill="1" applyAlignment="1">
      <alignment horizontal="left" vertical="top"/>
    </xf>
    <xf numFmtId="176" fontId="5" fillId="10" borderId="0" xfId="1" applyNumberFormat="1" applyFont="1" applyFill="1" applyAlignment="1">
      <alignment horizontal="left" vertical="top" shrinkToFit="1"/>
    </xf>
    <xf numFmtId="0" fontId="21" fillId="11" borderId="0" xfId="1" applyFont="1" applyFill="1" applyAlignment="1">
      <alignment horizontal="left" vertical="top" wrapText="1"/>
    </xf>
    <xf numFmtId="0" fontId="30" fillId="13" borderId="22" xfId="1" applyFont="1" applyFill="1" applyBorder="1" applyAlignment="1">
      <alignment vertical="top"/>
    </xf>
    <xf numFmtId="0" fontId="31" fillId="13" borderId="86" xfId="1" applyFont="1" applyFill="1" applyBorder="1" applyAlignment="1">
      <alignment horizontal="left" vertical="top"/>
    </xf>
    <xf numFmtId="0" fontId="30" fillId="13" borderId="86" xfId="1" applyFont="1" applyFill="1" applyBorder="1" applyAlignment="1">
      <alignment horizontal="left" vertical="top"/>
    </xf>
    <xf numFmtId="0" fontId="32" fillId="13" borderId="3" xfId="1" applyFont="1" applyFill="1" applyBorder="1" applyAlignment="1">
      <alignment horizontal="left" vertical="top" wrapText="1"/>
    </xf>
    <xf numFmtId="0" fontId="30" fillId="13" borderId="50" xfId="1" applyFont="1" applyFill="1" applyBorder="1" applyAlignment="1">
      <alignment vertical="top"/>
    </xf>
    <xf numFmtId="0" fontId="31" fillId="13" borderId="17" xfId="1" applyFont="1" applyFill="1" applyBorder="1" applyAlignment="1">
      <alignment horizontal="left" vertical="top"/>
    </xf>
    <xf numFmtId="0" fontId="30" fillId="13" borderId="16" xfId="1" applyFont="1" applyFill="1" applyBorder="1" applyAlignment="1">
      <alignment horizontal="left" vertical="top"/>
    </xf>
    <xf numFmtId="0" fontId="32" fillId="13" borderId="110" xfId="1" applyFont="1" applyFill="1" applyBorder="1" applyAlignment="1">
      <alignment horizontal="left" vertical="center"/>
    </xf>
    <xf numFmtId="0" fontId="3" fillId="0" borderId="0" xfId="2" applyFont="1">
      <alignment vertical="center"/>
    </xf>
    <xf numFmtId="0" fontId="3" fillId="0" borderId="99" xfId="0" applyFont="1" applyBorder="1" applyAlignment="1">
      <alignment horizontal="left" vertical="top" wrapText="1"/>
    </xf>
    <xf numFmtId="0" fontId="3" fillId="0" borderId="47" xfId="0" applyFont="1" applyBorder="1" applyAlignment="1">
      <alignment horizontal="left" vertical="top" wrapText="1"/>
    </xf>
    <xf numFmtId="0" fontId="3" fillId="0" borderId="15" xfId="0" applyFont="1" applyBorder="1" applyAlignment="1">
      <alignment horizontal="left" vertical="top" wrapText="1"/>
    </xf>
    <xf numFmtId="0" fontId="3" fillId="0" borderId="30" xfId="0" applyFont="1" applyBorder="1" applyAlignment="1">
      <alignment horizontal="left" vertical="top" wrapText="1"/>
    </xf>
    <xf numFmtId="0" fontId="3" fillId="0" borderId="54" xfId="0" applyFont="1" applyBorder="1" applyAlignment="1">
      <alignment vertical="top" wrapText="1"/>
    </xf>
    <xf numFmtId="0" fontId="3" fillId="0" borderId="84" xfId="0" applyFont="1" applyBorder="1" applyAlignment="1">
      <alignment vertical="top" wrapText="1"/>
    </xf>
    <xf numFmtId="0" fontId="3" fillId="0" borderId="91" xfId="0" applyFont="1" applyBorder="1" applyAlignment="1">
      <alignment vertical="top" wrapText="1"/>
    </xf>
    <xf numFmtId="0" fontId="3" fillId="0" borderId="38" xfId="0" applyFont="1" applyBorder="1" applyAlignment="1">
      <alignment vertical="top" wrapText="1"/>
    </xf>
    <xf numFmtId="0" fontId="3" fillId="0" borderId="39" xfId="0" applyFont="1" applyBorder="1" applyAlignment="1">
      <alignment horizontal="left" vertical="top" wrapText="1"/>
    </xf>
    <xf numFmtId="0" fontId="3" fillId="0" borderId="40" xfId="0" applyFont="1" applyBorder="1" applyAlignment="1">
      <alignment horizontal="left" vertical="top" wrapText="1"/>
    </xf>
    <xf numFmtId="0" fontId="3" fillId="0" borderId="41" xfId="0" applyFont="1" applyBorder="1" applyAlignment="1">
      <alignment horizontal="left" vertical="top" wrapText="1"/>
    </xf>
    <xf numFmtId="0" fontId="3" fillId="0" borderId="5" xfId="0" applyFont="1" applyBorder="1" applyAlignment="1">
      <alignment horizontal="left" vertical="top" wrapText="1"/>
    </xf>
    <xf numFmtId="0" fontId="3" fillId="0" borderId="12" xfId="0" applyFont="1" applyBorder="1" applyAlignment="1">
      <alignment vertical="top" wrapText="1"/>
    </xf>
    <xf numFmtId="0" fontId="3" fillId="0" borderId="30" xfId="0" applyFont="1" applyBorder="1" applyAlignment="1">
      <alignment vertical="top" wrapText="1"/>
    </xf>
    <xf numFmtId="0" fontId="3" fillId="0" borderId="96" xfId="0" applyFont="1" applyBorder="1" applyAlignment="1">
      <alignment horizontal="left" vertical="top" wrapText="1"/>
    </xf>
    <xf numFmtId="0" fontId="3" fillId="0" borderId="97" xfId="0" applyFont="1" applyBorder="1" applyAlignment="1">
      <alignment horizontal="left" vertical="top" wrapText="1"/>
    </xf>
    <xf numFmtId="0" fontId="3" fillId="0" borderId="10" xfId="0" applyFont="1" applyBorder="1" applyAlignment="1">
      <alignment horizontal="left" vertical="top" wrapText="1"/>
    </xf>
    <xf numFmtId="0" fontId="3" fillId="0" borderId="88" xfId="0" applyFont="1" applyBorder="1" applyAlignment="1">
      <alignment vertical="top" wrapText="1"/>
    </xf>
    <xf numFmtId="0" fontId="38" fillId="18" borderId="71" xfId="0" applyFont="1" applyFill="1" applyBorder="1" applyAlignment="1">
      <alignment horizontal="left" vertical="top" wrapText="1"/>
    </xf>
    <xf numFmtId="0" fontId="38" fillId="18" borderId="23" xfId="0" applyFont="1" applyFill="1" applyBorder="1" applyAlignment="1">
      <alignment horizontal="left" vertical="top" wrapText="1"/>
    </xf>
    <xf numFmtId="0" fontId="3" fillId="0" borderId="94" xfId="0" applyFont="1" applyBorder="1" applyAlignment="1">
      <alignment horizontal="left" vertical="top" wrapText="1"/>
    </xf>
    <xf numFmtId="0" fontId="3" fillId="0" borderId="52" xfId="0" applyFont="1" applyBorder="1" applyAlignment="1">
      <alignment horizontal="left" vertical="top" wrapText="1"/>
    </xf>
    <xf numFmtId="0" fontId="3" fillId="0" borderId="51" xfId="0" applyFont="1" applyBorder="1" applyAlignment="1">
      <alignment horizontal="left" vertical="top" wrapText="1"/>
    </xf>
    <xf numFmtId="0" fontId="3" fillId="0" borderId="6" xfId="0" applyFont="1" applyBorder="1" applyAlignment="1">
      <alignment horizontal="left" vertical="top" wrapText="1"/>
    </xf>
    <xf numFmtId="0" fontId="37" fillId="18" borderId="2" xfId="0" applyFont="1" applyFill="1" applyBorder="1" applyAlignment="1">
      <alignment horizontal="left" vertical="top" wrapText="1"/>
    </xf>
    <xf numFmtId="0" fontId="37" fillId="18" borderId="3" xfId="0" applyFont="1" applyFill="1" applyBorder="1" applyAlignment="1">
      <alignment horizontal="left" vertical="top" wrapText="1"/>
    </xf>
    <xf numFmtId="0" fontId="38" fillId="18" borderId="2" xfId="0" applyFont="1" applyFill="1" applyBorder="1" applyAlignment="1">
      <alignment horizontal="left" vertical="top" wrapText="1"/>
    </xf>
    <xf numFmtId="0" fontId="38" fillId="18" borderId="2" xfId="0" applyFont="1" applyFill="1" applyBorder="1" applyAlignment="1">
      <alignment horizontal="left" vertical="center" wrapText="1"/>
    </xf>
    <xf numFmtId="0" fontId="38" fillId="18" borderId="3" xfId="0" applyFont="1" applyFill="1" applyBorder="1" applyAlignment="1">
      <alignment horizontal="left"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3" fillId="0" borderId="25" xfId="0" applyFont="1" applyBorder="1" applyAlignment="1">
      <alignment horizontal="left" vertical="top" wrapText="1"/>
    </xf>
    <xf numFmtId="0" fontId="3" fillId="0" borderId="89" xfId="0" applyFont="1" applyBorder="1" applyAlignment="1">
      <alignment horizontal="left" vertical="top" wrapText="1"/>
    </xf>
    <xf numFmtId="0" fontId="3" fillId="0" borderId="48" xfId="0" applyFont="1" applyBorder="1" applyAlignment="1">
      <alignment horizontal="left" vertical="top" wrapText="1"/>
    </xf>
    <xf numFmtId="0" fontId="3" fillId="0" borderId="45" xfId="0" applyFont="1" applyBorder="1" applyAlignment="1">
      <alignment horizontal="left" vertical="top" wrapText="1"/>
    </xf>
    <xf numFmtId="0" fontId="3" fillId="0" borderId="92" xfId="0" applyFont="1" applyBorder="1" applyAlignment="1">
      <alignment horizontal="left" vertical="top" wrapText="1"/>
    </xf>
    <xf numFmtId="0" fontId="13" fillId="8" borderId="39" xfId="0" applyFont="1" applyFill="1" applyBorder="1" applyAlignment="1">
      <alignment horizontal="left" vertical="center" wrapText="1" shrinkToFit="1"/>
    </xf>
    <xf numFmtId="0" fontId="13" fillId="8" borderId="40" xfId="0" applyFont="1" applyFill="1" applyBorder="1" applyAlignment="1">
      <alignment horizontal="left" vertical="center" shrinkToFit="1"/>
    </xf>
    <xf numFmtId="0" fontId="13" fillId="8" borderId="41" xfId="0" applyFont="1" applyFill="1" applyBorder="1" applyAlignment="1">
      <alignment horizontal="left" vertical="center" shrinkToFit="1"/>
    </xf>
    <xf numFmtId="0" fontId="13" fillId="7" borderId="42" xfId="0" applyFont="1" applyFill="1" applyBorder="1" applyAlignment="1">
      <alignment horizontal="left" vertical="center" wrapText="1" shrinkToFit="1"/>
    </xf>
    <xf numFmtId="0" fontId="13" fillId="7" borderId="42" xfId="0" applyFont="1" applyFill="1" applyBorder="1" applyAlignment="1">
      <alignment horizontal="left" vertical="center" shrinkToFit="1"/>
    </xf>
    <xf numFmtId="0" fontId="7"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vertical="center" wrapText="1"/>
    </xf>
    <xf numFmtId="0" fontId="0" fillId="0" borderId="0" xfId="0" applyAlignment="1">
      <alignment vertical="center" wrapText="1"/>
    </xf>
    <xf numFmtId="0" fontId="13" fillId="6" borderId="18" xfId="0" applyFont="1" applyFill="1" applyBorder="1" applyAlignment="1">
      <alignment vertical="center" textRotation="255"/>
    </xf>
    <xf numFmtId="0" fontId="13" fillId="6" borderId="24" xfId="0" applyFont="1" applyFill="1" applyBorder="1" applyAlignment="1">
      <alignment vertical="center" textRotation="255"/>
    </xf>
    <xf numFmtId="0" fontId="13" fillId="6" borderId="35" xfId="0" applyFont="1" applyFill="1" applyBorder="1" applyAlignment="1">
      <alignment vertical="center" textRotation="255"/>
    </xf>
    <xf numFmtId="0" fontId="13" fillId="2" borderId="22" xfId="0" applyFont="1" applyFill="1" applyBorder="1">
      <alignment vertical="center"/>
    </xf>
    <xf numFmtId="0" fontId="13" fillId="2" borderId="25" xfId="0" applyFont="1" applyFill="1" applyBorder="1">
      <alignment vertical="center"/>
    </xf>
    <xf numFmtId="0" fontId="13" fillId="2" borderId="7" xfId="0" applyFont="1" applyFill="1" applyBorder="1" applyAlignment="1">
      <alignment vertical="center" wrapText="1"/>
    </xf>
    <xf numFmtId="0" fontId="13" fillId="2" borderId="25" xfId="0" applyFont="1" applyFill="1" applyBorder="1" applyAlignment="1">
      <alignment vertical="center" wrapText="1"/>
    </xf>
    <xf numFmtId="0" fontId="13" fillId="2" borderId="7" xfId="0" applyFont="1" applyFill="1" applyBorder="1">
      <alignment vertical="center"/>
    </xf>
    <xf numFmtId="0" fontId="13" fillId="2" borderId="36" xfId="0" applyFont="1" applyFill="1" applyBorder="1">
      <alignment vertical="center"/>
    </xf>
    <xf numFmtId="0" fontId="21" fillId="10" borderId="0" xfId="1" applyFont="1" applyFill="1" applyAlignment="1">
      <alignment horizontal="center" vertical="center"/>
    </xf>
    <xf numFmtId="0" fontId="23" fillId="11" borderId="115" xfId="1" applyFont="1" applyFill="1" applyBorder="1" applyAlignment="1">
      <alignment horizontal="left" vertical="top" wrapText="1"/>
    </xf>
    <xf numFmtId="0" fontId="23" fillId="11" borderId="116" xfId="1" applyFont="1" applyFill="1" applyBorder="1" applyAlignment="1">
      <alignment horizontal="left" vertical="top" wrapText="1"/>
    </xf>
    <xf numFmtId="0" fontId="23" fillId="11" borderId="117" xfId="1" applyFont="1" applyFill="1" applyBorder="1" applyAlignment="1">
      <alignment horizontal="left" vertical="top" wrapText="1"/>
    </xf>
    <xf numFmtId="0" fontId="5" fillId="12" borderId="107" xfId="1" applyFont="1" applyFill="1" applyBorder="1" applyAlignment="1" applyProtection="1">
      <alignment horizontal="left" vertical="top"/>
      <protection locked="0"/>
    </xf>
    <xf numFmtId="0" fontId="5" fillId="12" borderId="108" xfId="1" applyFont="1" applyFill="1" applyBorder="1" applyAlignment="1" applyProtection="1">
      <alignment horizontal="left" vertical="top"/>
      <protection locked="0"/>
    </xf>
    <xf numFmtId="0" fontId="5" fillId="12" borderId="109" xfId="1" applyFont="1" applyFill="1" applyBorder="1" applyAlignment="1" applyProtection="1">
      <alignment horizontal="left" vertical="top"/>
      <protection locked="0"/>
    </xf>
    <xf numFmtId="0" fontId="5" fillId="12" borderId="49" xfId="1" applyFont="1" applyFill="1" applyBorder="1" applyAlignment="1" applyProtection="1">
      <alignment horizontal="left" vertical="top"/>
      <protection locked="0"/>
    </xf>
    <xf numFmtId="0" fontId="5" fillId="12" borderId="26" xfId="1" applyFont="1" applyFill="1" applyBorder="1" applyAlignment="1" applyProtection="1">
      <alignment horizontal="left" vertical="top"/>
      <protection locked="0"/>
    </xf>
    <xf numFmtId="0" fontId="5" fillId="12" borderId="12" xfId="1" applyFont="1" applyFill="1" applyBorder="1" applyAlignment="1" applyProtection="1">
      <alignment horizontal="left" vertical="top"/>
      <protection locked="0"/>
    </xf>
    <xf numFmtId="0" fontId="5" fillId="12" borderId="15" xfId="1" applyFont="1" applyFill="1" applyBorder="1" applyAlignment="1" applyProtection="1">
      <alignment horizontal="left" vertical="top"/>
      <protection locked="0"/>
    </xf>
    <xf numFmtId="0" fontId="5" fillId="11" borderId="105" xfId="1" applyFont="1" applyFill="1" applyBorder="1" applyAlignment="1">
      <alignment horizontal="center" vertical="top"/>
    </xf>
    <xf numFmtId="0" fontId="5" fillId="11" borderId="104" xfId="1" applyFont="1" applyFill="1" applyBorder="1" applyAlignment="1">
      <alignment horizontal="center" vertical="top"/>
    </xf>
    <xf numFmtId="0" fontId="23" fillId="11" borderId="99" xfId="1" applyFont="1" applyFill="1" applyBorder="1" applyAlignment="1">
      <alignment horizontal="left" vertical="top" wrapText="1"/>
    </xf>
    <xf numFmtId="0" fontId="23" fillId="11" borderId="46" xfId="1" applyFont="1" applyFill="1" applyBorder="1" applyAlignment="1">
      <alignment horizontal="left" vertical="top" wrapText="1"/>
    </xf>
    <xf numFmtId="0" fontId="23" fillId="11" borderId="47" xfId="1" applyFont="1" applyFill="1" applyBorder="1" applyAlignment="1">
      <alignment horizontal="left" vertical="top" wrapText="1"/>
    </xf>
    <xf numFmtId="0" fontId="5" fillId="12" borderId="44" xfId="1" applyFont="1" applyFill="1" applyBorder="1" applyAlignment="1" applyProtection="1">
      <alignment horizontal="left" vertical="top"/>
      <protection locked="0"/>
    </xf>
    <xf numFmtId="0" fontId="5" fillId="12" borderId="21" xfId="1" applyFont="1" applyFill="1" applyBorder="1" applyAlignment="1" applyProtection="1">
      <alignment horizontal="left" vertical="top"/>
      <protection locked="0"/>
    </xf>
    <xf numFmtId="0" fontId="5" fillId="12" borderId="0" xfId="1" applyFont="1" applyFill="1" applyAlignment="1" applyProtection="1">
      <alignment horizontal="left" vertical="top"/>
      <protection locked="0"/>
    </xf>
    <xf numFmtId="0" fontId="5" fillId="12" borderId="53" xfId="1" applyFont="1" applyFill="1" applyBorder="1" applyAlignment="1" applyProtection="1">
      <alignment horizontal="left" vertical="top"/>
      <protection locked="0"/>
    </xf>
    <xf numFmtId="0" fontId="23" fillId="11" borderId="114" xfId="1" applyFont="1" applyFill="1" applyBorder="1" applyAlignment="1">
      <alignment horizontal="left" vertical="top" wrapText="1"/>
    </xf>
    <xf numFmtId="0" fontId="23" fillId="11" borderId="55" xfId="1" applyFont="1" applyFill="1" applyBorder="1" applyAlignment="1">
      <alignment horizontal="left" vertical="top" wrapText="1"/>
    </xf>
    <xf numFmtId="0" fontId="23" fillId="11" borderId="56" xfId="1" applyFont="1" applyFill="1" applyBorder="1" applyAlignment="1">
      <alignment horizontal="left" vertical="top" wrapText="1"/>
    </xf>
    <xf numFmtId="0" fontId="5" fillId="11" borderId="12" xfId="1" applyFont="1" applyFill="1" applyBorder="1" applyAlignment="1">
      <alignment horizontal="center" vertical="top"/>
    </xf>
    <xf numFmtId="0" fontId="5" fillId="11" borderId="15" xfId="1" applyFont="1" applyFill="1" applyBorder="1" applyAlignment="1">
      <alignment horizontal="center" vertical="top"/>
    </xf>
    <xf numFmtId="0" fontId="5" fillId="11" borderId="59" xfId="1" applyFont="1" applyFill="1" applyBorder="1" applyAlignment="1">
      <alignment horizontal="left" vertical="top"/>
    </xf>
    <xf numFmtId="0" fontId="5" fillId="11" borderId="60" xfId="1" applyFont="1" applyFill="1" applyBorder="1" applyAlignment="1">
      <alignment horizontal="left" vertical="top"/>
    </xf>
    <xf numFmtId="0" fontId="5" fillId="11" borderId="63" xfId="1" applyFont="1" applyFill="1" applyBorder="1" applyAlignment="1">
      <alignment horizontal="left" vertical="top"/>
    </xf>
    <xf numFmtId="0" fontId="5" fillId="11" borderId="64" xfId="1" applyFont="1" applyFill="1" applyBorder="1" applyAlignment="1">
      <alignment horizontal="left" vertical="top"/>
    </xf>
    <xf numFmtId="0" fontId="5" fillId="12" borderId="0" xfId="1" applyFont="1" applyFill="1" applyAlignment="1" applyProtection="1">
      <alignment horizontal="left" vertical="top" wrapText="1"/>
      <protection locked="0"/>
    </xf>
    <xf numFmtId="0" fontId="5" fillId="12" borderId="49" xfId="1" applyFont="1" applyFill="1" applyBorder="1" applyAlignment="1" applyProtection="1">
      <alignment horizontal="left" vertical="top" wrapText="1"/>
      <protection locked="0"/>
    </xf>
    <xf numFmtId="0" fontId="5" fillId="12" borderId="26" xfId="1" applyFont="1" applyFill="1" applyBorder="1" applyAlignment="1" applyProtection="1">
      <alignment horizontal="left" vertical="top" wrapText="1"/>
      <protection locked="0"/>
    </xf>
    <xf numFmtId="38" fontId="5" fillId="12" borderId="79" xfId="3" applyNumberFormat="1" applyFont="1" applyFill="1" applyBorder="1" applyAlignment="1">
      <alignment horizontal="right" vertical="top"/>
    </xf>
    <xf numFmtId="38" fontId="5" fillId="12" borderId="80" xfId="3" applyNumberFormat="1" applyFont="1" applyFill="1" applyBorder="1" applyAlignment="1">
      <alignment horizontal="right" vertical="top"/>
    </xf>
    <xf numFmtId="0" fontId="5" fillId="12" borderId="53" xfId="1" applyFont="1" applyFill="1" applyBorder="1" applyAlignment="1" applyProtection="1">
      <alignment horizontal="left" vertical="top" wrapText="1"/>
      <protection locked="0"/>
    </xf>
    <xf numFmtId="0" fontId="5" fillId="11" borderId="44" xfId="1" applyFont="1" applyFill="1" applyBorder="1" applyAlignment="1">
      <alignment horizontal="left" vertical="top"/>
    </xf>
    <xf numFmtId="0" fontId="5" fillId="11" borderId="69" xfId="1" applyFont="1" applyFill="1" applyBorder="1" applyAlignment="1">
      <alignment horizontal="left" vertical="top"/>
    </xf>
    <xf numFmtId="0" fontId="5" fillId="11" borderId="72" xfId="1" applyFont="1" applyFill="1" applyBorder="1" applyAlignment="1">
      <alignment horizontal="left" vertical="top"/>
    </xf>
    <xf numFmtId="0" fontId="5" fillId="11" borderId="73" xfId="1" applyFont="1" applyFill="1" applyBorder="1" applyAlignment="1">
      <alignment horizontal="left" vertical="top"/>
    </xf>
    <xf numFmtId="0" fontId="5" fillId="11" borderId="74" xfId="1" applyFont="1" applyFill="1" applyBorder="1" applyAlignment="1">
      <alignment horizontal="left" vertical="top"/>
    </xf>
    <xf numFmtId="0" fontId="5" fillId="11" borderId="75" xfId="1" applyFont="1" applyFill="1" applyBorder="1" applyAlignment="1">
      <alignment horizontal="left" vertical="top"/>
    </xf>
    <xf numFmtId="0" fontId="5" fillId="12" borderId="30" xfId="1" applyFont="1" applyFill="1" applyBorder="1" applyAlignment="1" applyProtection="1">
      <alignment horizontal="left" vertical="top"/>
      <protection locked="0"/>
    </xf>
    <xf numFmtId="177" fontId="5" fillId="12" borderId="44" xfId="1" applyNumberFormat="1" applyFont="1" applyFill="1" applyBorder="1" applyAlignment="1" applyProtection="1">
      <alignment horizontal="left" vertical="top"/>
      <protection locked="0"/>
    </xf>
    <xf numFmtId="177" fontId="5" fillId="12" borderId="21" xfId="1" applyNumberFormat="1" applyFont="1" applyFill="1" applyBorder="1" applyAlignment="1" applyProtection="1">
      <alignment horizontal="left" vertical="top"/>
      <protection locked="0"/>
    </xf>
    <xf numFmtId="0" fontId="5" fillId="12" borderId="51" xfId="1" applyFont="1" applyFill="1" applyBorder="1" applyAlignment="1" applyProtection="1">
      <alignment horizontal="left" vertical="top"/>
      <protection locked="0"/>
    </xf>
    <xf numFmtId="0" fontId="5" fillId="12" borderId="52" xfId="1" applyFont="1" applyFill="1" applyBorder="1" applyAlignment="1" applyProtection="1">
      <alignment horizontal="left" vertical="top"/>
      <protection locked="0"/>
    </xf>
    <xf numFmtId="0" fontId="5" fillId="11" borderId="8" xfId="1" applyFont="1" applyFill="1" applyBorder="1" applyAlignment="1">
      <alignment horizontal="left" vertical="top" wrapText="1"/>
    </xf>
    <xf numFmtId="0" fontId="5" fillId="11" borderId="85" xfId="1" applyFont="1" applyFill="1" applyBorder="1" applyAlignment="1">
      <alignment horizontal="left" vertical="top" wrapText="1"/>
    </xf>
    <xf numFmtId="0" fontId="5" fillId="11" borderId="87" xfId="1" applyFont="1" applyFill="1" applyBorder="1" applyAlignment="1">
      <alignment horizontal="left" vertical="top" wrapText="1"/>
    </xf>
    <xf numFmtId="0" fontId="5" fillId="11" borderId="111" xfId="1" applyFont="1" applyFill="1" applyBorder="1" applyAlignment="1">
      <alignment horizontal="center" vertical="top"/>
    </xf>
    <xf numFmtId="0" fontId="5" fillId="11" borderId="112" xfId="1" applyFont="1" applyFill="1" applyBorder="1" applyAlignment="1">
      <alignment horizontal="center" vertical="top"/>
    </xf>
    <xf numFmtId="0" fontId="5" fillId="11" borderId="113" xfId="1" applyFont="1" applyFill="1" applyBorder="1" applyAlignment="1">
      <alignment horizontal="center" vertical="top"/>
    </xf>
    <xf numFmtId="0" fontId="5" fillId="12" borderId="0" xfId="1" applyFont="1" applyFill="1" applyAlignment="1">
      <alignment horizontal="left" vertical="top" wrapText="1"/>
    </xf>
    <xf numFmtId="0" fontId="5" fillId="11" borderId="84" xfId="1" applyFont="1" applyFill="1" applyBorder="1" applyAlignment="1">
      <alignment horizontal="left" vertical="top" wrapText="1"/>
    </xf>
    <xf numFmtId="0" fontId="5" fillId="12" borderId="12" xfId="1" applyFont="1" applyFill="1" applyBorder="1" applyAlignment="1" applyProtection="1">
      <alignment horizontal="left" vertical="top" wrapText="1"/>
      <protection locked="0"/>
    </xf>
    <xf numFmtId="0" fontId="5" fillId="12" borderId="13" xfId="1" applyFont="1" applyFill="1" applyBorder="1" applyAlignment="1" applyProtection="1">
      <alignment horizontal="left" vertical="top" wrapText="1"/>
      <protection locked="0"/>
    </xf>
    <xf numFmtId="0" fontId="33" fillId="15" borderId="102" xfId="1" applyFont="1" applyFill="1" applyBorder="1" applyAlignment="1">
      <alignment horizontal="left" vertical="top"/>
    </xf>
    <xf numFmtId="0" fontId="33" fillId="15" borderId="70" xfId="1" applyFont="1" applyFill="1" applyBorder="1" applyAlignment="1">
      <alignment horizontal="left" vertical="top"/>
    </xf>
    <xf numFmtId="0" fontId="33" fillId="15" borderId="23" xfId="1" applyFont="1" applyFill="1" applyBorder="1" applyAlignment="1">
      <alignment horizontal="left" vertical="top"/>
    </xf>
    <xf numFmtId="0" fontId="36" fillId="7" borderId="12" xfId="1" applyFont="1" applyFill="1" applyBorder="1" applyAlignment="1">
      <alignment horizontal="left" vertical="top"/>
    </xf>
    <xf numFmtId="0" fontId="36" fillId="7" borderId="13" xfId="1" applyFont="1" applyFill="1" applyBorder="1" applyAlignment="1">
      <alignment horizontal="left" vertical="top"/>
    </xf>
    <xf numFmtId="38" fontId="5" fillId="12" borderId="12" xfId="3" applyNumberFormat="1" applyFont="1" applyFill="1" applyBorder="1" applyAlignment="1" applyProtection="1">
      <alignment horizontal="right" vertical="top"/>
      <protection locked="0"/>
    </xf>
    <xf numFmtId="38" fontId="5" fillId="12" borderId="13" xfId="3" applyNumberFormat="1" applyFont="1" applyFill="1" applyBorder="1" applyAlignment="1" applyProtection="1">
      <alignment horizontal="right" vertical="top"/>
      <protection locked="0"/>
    </xf>
    <xf numFmtId="0" fontId="5" fillId="11" borderId="103" xfId="1" applyFont="1" applyFill="1" applyBorder="1" applyAlignment="1">
      <alignment horizontal="right" vertical="top" wrapText="1"/>
    </xf>
    <xf numFmtId="0" fontId="5" fillId="11" borderId="91" xfId="1" applyFont="1" applyFill="1" applyBorder="1" applyAlignment="1">
      <alignment horizontal="right" vertical="top" wrapText="1"/>
    </xf>
    <xf numFmtId="0" fontId="5" fillId="12" borderId="103" xfId="1" applyFont="1" applyFill="1" applyBorder="1" applyAlignment="1" applyProtection="1">
      <alignment horizontal="left" vertical="top" wrapText="1"/>
      <protection locked="0"/>
    </xf>
    <xf numFmtId="0" fontId="5" fillId="12" borderId="91" xfId="1" applyFont="1" applyFill="1" applyBorder="1" applyAlignment="1" applyProtection="1">
      <alignment horizontal="left" vertical="top" wrapText="1"/>
      <protection locked="0"/>
    </xf>
    <xf numFmtId="0" fontId="5" fillId="12" borderId="38" xfId="1" applyFont="1" applyFill="1" applyBorder="1" applyAlignment="1" applyProtection="1">
      <alignment horizontal="left" vertical="top" wrapText="1"/>
      <protection locked="0"/>
    </xf>
    <xf numFmtId="0" fontId="5" fillId="12" borderId="30" xfId="1" applyFont="1" applyFill="1" applyBorder="1" applyAlignment="1" applyProtection="1">
      <alignment horizontal="left" vertical="top" wrapText="1"/>
      <protection locked="0"/>
    </xf>
    <xf numFmtId="0" fontId="36" fillId="7" borderId="12" xfId="1" applyFont="1" applyFill="1" applyBorder="1" applyAlignment="1">
      <alignment vertical="top"/>
    </xf>
    <xf numFmtId="0" fontId="36" fillId="7" borderId="30" xfId="1" applyFont="1" applyFill="1" applyBorder="1" applyAlignment="1">
      <alignment vertical="top"/>
    </xf>
    <xf numFmtId="0" fontId="5" fillId="12" borderId="88" xfId="1" applyFont="1" applyFill="1" applyBorder="1" applyAlignment="1" applyProtection="1">
      <alignment horizontal="left" vertical="top" wrapText="1"/>
      <protection locked="0"/>
    </xf>
    <xf numFmtId="0" fontId="29" fillId="0" borderId="8" xfId="1" applyFont="1" applyBorder="1" applyAlignment="1" applyProtection="1">
      <alignment horizontal="left" vertical="top" wrapText="1"/>
      <protection locked="0"/>
    </xf>
  </cellXfs>
  <cellStyles count="4">
    <cellStyle name="Normal 2" xfId="2" xr:uid="{52D63F84-1862-475C-A96A-FF84BF95BA84}"/>
    <cellStyle name="桁区切り [0.00]" xfId="3" builtinId="3"/>
    <cellStyle name="標準" xfId="0" builtinId="0"/>
    <cellStyle name="標準 2" xfId="1" xr:uid="{C72024B2-779E-44E2-993E-4C20360FF0D2}"/>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auto="1"/>
      </font>
      <fill>
        <patternFill>
          <bgColor theme="0"/>
        </patternFill>
      </fill>
    </dxf>
    <dxf>
      <font>
        <color theme="1"/>
      </font>
      <fill>
        <patternFill patternType="none">
          <bgColor auto="1"/>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44EB-E013-4E3C-A937-C40266FCBA2F}">
  <sheetPr codeName="Sheet1"/>
  <dimension ref="A1:G46"/>
  <sheetViews>
    <sheetView showGridLines="0" topLeftCell="B1" zoomScaleNormal="100" workbookViewId="0">
      <selection activeCell="G4" sqref="G4"/>
    </sheetView>
  </sheetViews>
  <sheetFormatPr defaultColWidth="9.140625" defaultRowHeight="15"/>
  <cols>
    <col min="1" max="1" width="5.140625" style="2" customWidth="1"/>
    <col min="2" max="2" width="10.640625" style="4" customWidth="1"/>
    <col min="3" max="3" width="22.140625" style="4" customWidth="1"/>
    <col min="4" max="4" width="71.140625" style="4" customWidth="1"/>
    <col min="5" max="5" width="14.140625" style="4" customWidth="1"/>
    <col min="6" max="6" width="58.140625" style="1" customWidth="1"/>
    <col min="7" max="16384" width="9.140625" style="2"/>
  </cols>
  <sheetData>
    <row r="1" spans="1:7">
      <c r="A1" s="128" t="s">
        <v>0</v>
      </c>
      <c r="B1" s="125"/>
      <c r="C1" s="125"/>
      <c r="D1" s="125"/>
      <c r="E1" s="125"/>
      <c r="F1" s="126"/>
      <c r="G1" s="124"/>
    </row>
    <row r="2" spans="1:7" ht="5.15" customHeight="1" thickBot="1"/>
    <row r="3" spans="1:7" ht="16.5">
      <c r="B3" s="127" t="s">
        <v>1</v>
      </c>
      <c r="C3" s="164" t="s">
        <v>2</v>
      </c>
      <c r="D3" s="245" t="s">
        <v>3</v>
      </c>
      <c r="E3" s="245"/>
      <c r="F3" s="246"/>
    </row>
    <row r="4" spans="1:7" s="5" customFormat="1" ht="34" customHeight="1">
      <c r="B4" s="3">
        <v>1</v>
      </c>
      <c r="C4" s="163" t="s">
        <v>4</v>
      </c>
      <c r="D4" s="232" t="s">
        <v>5</v>
      </c>
      <c r="E4" s="232"/>
      <c r="F4" s="244"/>
    </row>
    <row r="5" spans="1:7" s="5" customFormat="1" ht="51.65" customHeight="1">
      <c r="B5" s="3">
        <v>2</v>
      </c>
      <c r="C5" s="163" t="s">
        <v>6</v>
      </c>
      <c r="D5" s="232" t="s">
        <v>7</v>
      </c>
      <c r="E5" s="232"/>
      <c r="F5" s="244"/>
    </row>
    <row r="6" spans="1:7" s="5" customFormat="1" ht="105" customHeight="1">
      <c r="B6" s="3">
        <v>3</v>
      </c>
      <c r="C6" s="163" t="s">
        <v>8</v>
      </c>
      <c r="D6" s="232" t="s">
        <v>9</v>
      </c>
      <c r="E6" s="232"/>
      <c r="F6" s="244"/>
    </row>
    <row r="7" spans="1:7" ht="30">
      <c r="B7" s="3">
        <v>4</v>
      </c>
      <c r="C7" s="163" t="s">
        <v>10</v>
      </c>
      <c r="D7" s="232" t="s">
        <v>11</v>
      </c>
      <c r="E7" s="232"/>
      <c r="F7" s="244"/>
    </row>
    <row r="8" spans="1:7" ht="30">
      <c r="B8" s="3">
        <v>5</v>
      </c>
      <c r="C8" s="163" t="s">
        <v>12</v>
      </c>
      <c r="D8" s="232" t="s">
        <v>13</v>
      </c>
      <c r="E8" s="232"/>
      <c r="F8" s="244"/>
    </row>
    <row r="9" spans="1:7" ht="30" customHeight="1">
      <c r="B9" s="162">
        <v>6</v>
      </c>
      <c r="C9" s="153" t="s">
        <v>14</v>
      </c>
      <c r="D9" s="251" t="s">
        <v>15</v>
      </c>
      <c r="E9" s="223"/>
      <c r="F9" s="224"/>
    </row>
    <row r="10" spans="1:7" ht="34" customHeight="1" thickBot="1">
      <c r="B10" s="6">
        <v>7</v>
      </c>
      <c r="C10" s="165" t="s">
        <v>16</v>
      </c>
      <c r="D10" s="237" t="s">
        <v>17</v>
      </c>
      <c r="E10" s="237"/>
      <c r="F10" s="250"/>
    </row>
    <row r="12" spans="1:7">
      <c r="A12" s="128" t="s">
        <v>18</v>
      </c>
      <c r="B12" s="125"/>
      <c r="C12" s="125"/>
      <c r="D12" s="125"/>
      <c r="E12" s="125"/>
      <c r="F12" s="126"/>
      <c r="G12" s="124"/>
    </row>
    <row r="13" spans="1:7" ht="5.15" customHeight="1" thickBot="1"/>
    <row r="14" spans="1:7">
      <c r="B14" s="129" t="s">
        <v>19</v>
      </c>
      <c r="C14" s="247" t="s">
        <v>20</v>
      </c>
      <c r="D14" s="247"/>
      <c r="E14" s="248" t="s">
        <v>21</v>
      </c>
      <c r="F14" s="249"/>
    </row>
    <row r="15" spans="1:7" ht="28.5" customHeight="1">
      <c r="B15" s="130" t="s">
        <v>22</v>
      </c>
      <c r="C15" s="232" t="s">
        <v>23</v>
      </c>
      <c r="D15" s="232"/>
      <c r="E15" s="233" t="s">
        <v>24</v>
      </c>
      <c r="F15" s="234"/>
    </row>
    <row r="16" spans="1:7">
      <c r="B16" s="130" t="s">
        <v>25</v>
      </c>
      <c r="C16" s="232" t="s">
        <v>26</v>
      </c>
      <c r="D16" s="232"/>
      <c r="E16" s="233" t="s">
        <v>27</v>
      </c>
      <c r="F16" s="234"/>
    </row>
    <row r="17" spans="1:7" ht="30.65" customHeight="1">
      <c r="B17" s="130" t="s">
        <v>28</v>
      </c>
      <c r="C17" s="232" t="s">
        <v>29</v>
      </c>
      <c r="D17" s="232"/>
      <c r="E17" s="233" t="s">
        <v>30</v>
      </c>
      <c r="F17" s="234"/>
    </row>
    <row r="18" spans="1:7" ht="34" customHeight="1">
      <c r="B18" s="130" t="s">
        <v>31</v>
      </c>
      <c r="C18" s="232" t="s">
        <v>32</v>
      </c>
      <c r="D18" s="232"/>
      <c r="E18" s="233" t="s">
        <v>33</v>
      </c>
      <c r="F18" s="234"/>
    </row>
    <row r="19" spans="1:7" ht="27">
      <c r="B19" s="130" t="s">
        <v>34</v>
      </c>
      <c r="C19" s="232" t="s">
        <v>35</v>
      </c>
      <c r="D19" s="232"/>
      <c r="E19" s="233" t="s">
        <v>36</v>
      </c>
      <c r="F19" s="234"/>
    </row>
    <row r="20" spans="1:7" ht="54">
      <c r="B20" s="130" t="s">
        <v>37</v>
      </c>
      <c r="C20" s="232" t="s">
        <v>38</v>
      </c>
      <c r="D20" s="232"/>
      <c r="E20" s="233" t="s">
        <v>39</v>
      </c>
      <c r="F20" s="234"/>
    </row>
    <row r="21" spans="1:7" ht="27">
      <c r="B21" s="130" t="s">
        <v>40</v>
      </c>
      <c r="C21" s="232" t="s">
        <v>41</v>
      </c>
      <c r="D21" s="232"/>
      <c r="E21" s="233" t="s">
        <v>42</v>
      </c>
      <c r="F21" s="234"/>
    </row>
    <row r="22" spans="1:7" ht="27">
      <c r="B22" s="130" t="s">
        <v>43</v>
      </c>
      <c r="C22" s="232" t="s">
        <v>44</v>
      </c>
      <c r="D22" s="232"/>
      <c r="E22" s="233" t="s">
        <v>45</v>
      </c>
      <c r="F22" s="234"/>
    </row>
    <row r="23" spans="1:7">
      <c r="B23" s="130" t="s">
        <v>46</v>
      </c>
      <c r="C23" s="232" t="s">
        <v>47</v>
      </c>
      <c r="D23" s="232"/>
      <c r="E23" s="233" t="s">
        <v>48</v>
      </c>
      <c r="F23" s="234"/>
    </row>
    <row r="24" spans="1:7" ht="15.5" thickBot="1">
      <c r="B24" s="131" t="s">
        <v>49</v>
      </c>
      <c r="C24" s="237" t="s">
        <v>50</v>
      </c>
      <c r="D24" s="237"/>
      <c r="E24" s="238" t="s">
        <v>51</v>
      </c>
      <c r="F24" s="228"/>
    </row>
    <row r="26" spans="1:7">
      <c r="A26" s="128" t="s">
        <v>52</v>
      </c>
      <c r="B26" s="125"/>
      <c r="C26" s="125"/>
      <c r="D26" s="125"/>
      <c r="E26" s="125"/>
      <c r="F26" s="126"/>
      <c r="G26" s="124"/>
    </row>
    <row r="27" spans="1:7" ht="5.15" customHeight="1" thickBot="1">
      <c r="B27" s="7"/>
    </row>
    <row r="28" spans="1:7">
      <c r="B28" s="132" t="s">
        <v>53</v>
      </c>
      <c r="C28" s="133" t="s">
        <v>54</v>
      </c>
      <c r="D28" s="133" t="s">
        <v>55</v>
      </c>
      <c r="E28" s="239" t="s">
        <v>56</v>
      </c>
      <c r="F28" s="240"/>
    </row>
    <row r="29" spans="1:7" ht="30">
      <c r="B29" s="252" t="s">
        <v>57</v>
      </c>
      <c r="C29" s="135" t="s">
        <v>58</v>
      </c>
      <c r="D29" s="135" t="s">
        <v>59</v>
      </c>
      <c r="E29" s="241" t="s">
        <v>60</v>
      </c>
      <c r="F29" s="242"/>
    </row>
    <row r="30" spans="1:7" ht="45.65" customHeight="1">
      <c r="B30" s="253"/>
      <c r="C30" s="136" t="s">
        <v>61</v>
      </c>
      <c r="D30" s="136" t="s">
        <v>62</v>
      </c>
      <c r="E30" s="235" t="s">
        <v>63</v>
      </c>
      <c r="F30" s="236"/>
    </row>
    <row r="31" spans="1:7" ht="45.65" customHeight="1">
      <c r="B31" s="253"/>
      <c r="C31" s="136" t="s">
        <v>64</v>
      </c>
      <c r="D31" s="136" t="s">
        <v>65</v>
      </c>
      <c r="E31" s="235" t="s">
        <v>66</v>
      </c>
      <c r="F31" s="236"/>
    </row>
    <row r="32" spans="1:7" ht="30">
      <c r="B32" s="254"/>
      <c r="C32" s="137" t="s">
        <v>67</v>
      </c>
      <c r="D32" s="137" t="s">
        <v>68</v>
      </c>
      <c r="E32" s="221" t="s">
        <v>69</v>
      </c>
      <c r="F32" s="222"/>
    </row>
    <row r="33" spans="1:7" ht="30">
      <c r="B33" s="255" t="s">
        <v>70</v>
      </c>
      <c r="C33" s="138" t="s">
        <v>71</v>
      </c>
      <c r="D33" s="139" t="s">
        <v>72</v>
      </c>
      <c r="E33" s="243" t="s">
        <v>73</v>
      </c>
      <c r="F33" s="242"/>
    </row>
    <row r="34" spans="1:7" ht="45">
      <c r="B34" s="256"/>
      <c r="C34" s="136" t="s">
        <v>74</v>
      </c>
      <c r="D34" s="136" t="s">
        <v>75</v>
      </c>
      <c r="E34" s="235" t="s">
        <v>76</v>
      </c>
      <c r="F34" s="236"/>
    </row>
    <row r="35" spans="1:7" ht="30">
      <c r="B35" s="256"/>
      <c r="C35" s="136" t="s">
        <v>77</v>
      </c>
      <c r="D35" s="136" t="s">
        <v>78</v>
      </c>
      <c r="E35" s="235" t="s">
        <v>79</v>
      </c>
      <c r="F35" s="236"/>
    </row>
    <row r="36" spans="1:7" ht="30">
      <c r="B36" s="257"/>
      <c r="C36" s="137" t="s">
        <v>80</v>
      </c>
      <c r="D36" s="137" t="s">
        <v>81</v>
      </c>
      <c r="E36" s="221" t="s">
        <v>82</v>
      </c>
      <c r="F36" s="222"/>
    </row>
    <row r="37" spans="1:7" ht="30">
      <c r="B37" s="134" t="s">
        <v>83</v>
      </c>
      <c r="C37" s="8" t="s">
        <v>83</v>
      </c>
      <c r="D37" s="8" t="s">
        <v>84</v>
      </c>
      <c r="E37" s="223" t="s">
        <v>85</v>
      </c>
      <c r="F37" s="224"/>
    </row>
    <row r="38" spans="1:7" ht="15.5" thickBot="1">
      <c r="B38" s="225" t="s">
        <v>86</v>
      </c>
      <c r="C38" s="226"/>
      <c r="D38" s="226"/>
      <c r="E38" s="227"/>
      <c r="F38" s="228"/>
    </row>
    <row r="40" spans="1:7">
      <c r="A40" s="128" t="s">
        <v>87</v>
      </c>
      <c r="B40" s="125"/>
      <c r="C40" s="125"/>
      <c r="D40" s="125"/>
      <c r="E40" s="125"/>
      <c r="F40" s="126"/>
      <c r="G40" s="124"/>
    </row>
    <row r="41" spans="1:7" ht="5.15" customHeight="1" thickBot="1">
      <c r="B41" s="7"/>
      <c r="C41" s="7"/>
      <c r="D41" s="7"/>
      <c r="E41" s="7"/>
      <c r="F41" s="9"/>
    </row>
    <row r="42" spans="1:7" ht="409.5" customHeight="1" thickBot="1">
      <c r="B42" s="229" t="s">
        <v>88</v>
      </c>
      <c r="C42" s="230"/>
      <c r="D42" s="230"/>
      <c r="E42" s="230"/>
      <c r="F42" s="231"/>
    </row>
    <row r="43" spans="1:7">
      <c r="B43" s="7"/>
      <c r="C43" s="7"/>
      <c r="D43" s="7"/>
      <c r="E43" s="7"/>
      <c r="F43" s="9"/>
    </row>
    <row r="44" spans="1:7">
      <c r="A44" s="128" t="s">
        <v>89</v>
      </c>
      <c r="B44" s="125"/>
      <c r="C44" s="125"/>
      <c r="D44" s="125"/>
      <c r="E44" s="125"/>
      <c r="F44" s="126"/>
      <c r="G44" s="124"/>
    </row>
    <row r="45" spans="1:7" ht="9" customHeight="1" thickBot="1">
      <c r="B45" s="10"/>
      <c r="C45" s="7"/>
      <c r="D45" s="7"/>
      <c r="E45" s="7"/>
      <c r="F45" s="9"/>
    </row>
    <row r="46" spans="1:7" ht="326.25" customHeight="1" thickBot="1">
      <c r="B46" s="229" t="s">
        <v>90</v>
      </c>
      <c r="C46" s="230"/>
      <c r="D46" s="230"/>
      <c r="E46" s="230"/>
      <c r="F46" s="231"/>
    </row>
  </sheetData>
  <sheetProtection algorithmName="SHA-512" hashValue="8EADjXy7dIYTE/Knj3nG+ldzb/T/ejBY56at1Exg81O5u2hEeSBl3+bOENgIiTFkAFn5D324k4BdrY1nu2u/Xg==" saltValue="5wPT9PwSgfSO9DLuIxtsIw==" spinCount="100000" sheet="1" formatRows="0"/>
  <mergeCells count="45">
    <mergeCell ref="B29:B32"/>
    <mergeCell ref="B33:B36"/>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D4:F4"/>
    <mergeCell ref="D3:F3"/>
    <mergeCell ref="D5:F5"/>
    <mergeCell ref="D6:F6"/>
    <mergeCell ref="C14:D14"/>
    <mergeCell ref="E14:F14"/>
    <mergeCell ref="D7:F7"/>
    <mergeCell ref="D8:F8"/>
    <mergeCell ref="D10:F10"/>
    <mergeCell ref="D9:F9"/>
    <mergeCell ref="C22:D22"/>
    <mergeCell ref="E22:F22"/>
    <mergeCell ref="E35:F35"/>
    <mergeCell ref="C23:D23"/>
    <mergeCell ref="E23:F23"/>
    <mergeCell ref="C24:D24"/>
    <mergeCell ref="E24:F24"/>
    <mergeCell ref="E28:F28"/>
    <mergeCell ref="E29:F29"/>
    <mergeCell ref="E30:F30"/>
    <mergeCell ref="E31:F31"/>
    <mergeCell ref="E32:F32"/>
    <mergeCell ref="E33:F33"/>
    <mergeCell ref="E34:F34"/>
    <mergeCell ref="E36:F36"/>
    <mergeCell ref="E37:F37"/>
    <mergeCell ref="B38:F38"/>
    <mergeCell ref="B42:F42"/>
    <mergeCell ref="B46:F46"/>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80DD-EE3F-4C15-B87C-D73D14ACA8D6}">
  <sheetPr codeName="Sheet2">
    <tabColor indexed="44"/>
    <pageSetUpPr fitToPage="1"/>
  </sheetPr>
  <dimension ref="A2:F21"/>
  <sheetViews>
    <sheetView view="pageBreakPreview" topLeftCell="A3" zoomScale="93" zoomScaleNormal="75" zoomScaleSheetLayoutView="75" workbookViewId="0">
      <selection activeCell="B46" sqref="B46:F46"/>
    </sheetView>
  </sheetViews>
  <sheetFormatPr defaultColWidth="7" defaultRowHeight="13"/>
  <cols>
    <col min="1" max="1" width="2.42578125" style="11" bestFit="1" customWidth="1"/>
    <col min="2" max="2" width="6.640625" style="11" customWidth="1"/>
    <col min="3" max="3" width="11" style="11" customWidth="1"/>
    <col min="4" max="4" width="63.35546875" style="11" customWidth="1"/>
    <col min="5" max="5" width="34.35546875" style="11" customWidth="1"/>
    <col min="6" max="6" width="36.42578125" style="11" customWidth="1"/>
    <col min="7" max="7" width="2.42578125" style="11" customWidth="1"/>
    <col min="8" max="16384" width="7" style="11"/>
  </cols>
  <sheetData>
    <row r="2" spans="1:6" ht="23.5">
      <c r="A2" s="263" t="s">
        <v>91</v>
      </c>
      <c r="B2" s="264"/>
      <c r="C2" s="264"/>
      <c r="D2" s="264"/>
      <c r="E2" s="264"/>
      <c r="F2" s="264"/>
    </row>
    <row r="3" spans="1:6" ht="38.5" customHeight="1">
      <c r="B3" s="12"/>
      <c r="C3" s="12"/>
      <c r="D3" s="13"/>
      <c r="E3" s="265" t="s">
        <v>92</v>
      </c>
      <c r="F3" s="266"/>
    </row>
    <row r="5" spans="1:6" s="19" customFormat="1" ht="26.5" thickBot="1">
      <c r="A5" s="14" t="s">
        <v>93</v>
      </c>
      <c r="B5" s="15" t="s">
        <v>94</v>
      </c>
      <c r="C5" s="16" t="s">
        <v>95</v>
      </c>
      <c r="D5" s="17" t="s">
        <v>96</v>
      </c>
      <c r="E5" s="18" t="s">
        <v>97</v>
      </c>
      <c r="F5" s="18" t="s">
        <v>98</v>
      </c>
    </row>
    <row r="6" spans="1:6" s="19" customFormat="1" ht="70" customHeight="1">
      <c r="A6" s="267" t="s">
        <v>99</v>
      </c>
      <c r="B6" s="270" t="s">
        <v>100</v>
      </c>
      <c r="C6" s="20" t="s">
        <v>101</v>
      </c>
      <c r="D6" s="21" t="s">
        <v>102</v>
      </c>
      <c r="E6" s="22" t="s">
        <v>103</v>
      </c>
      <c r="F6" s="22" t="s">
        <v>104</v>
      </c>
    </row>
    <row r="7" spans="1:6" s="19" customFormat="1" ht="84">
      <c r="A7" s="268"/>
      <c r="B7" s="271"/>
      <c r="C7" s="23" t="s">
        <v>105</v>
      </c>
      <c r="D7" s="24" t="s">
        <v>106</v>
      </c>
      <c r="E7" s="25" t="s">
        <v>93</v>
      </c>
      <c r="F7" s="26" t="s">
        <v>107</v>
      </c>
    </row>
    <row r="8" spans="1:6" s="19" customFormat="1" ht="178" customHeight="1">
      <c r="A8" s="268"/>
      <c r="B8" s="272" t="s">
        <v>108</v>
      </c>
      <c r="C8" s="27" t="s">
        <v>109</v>
      </c>
      <c r="D8" s="28" t="s">
        <v>110</v>
      </c>
      <c r="E8" s="29" t="s">
        <v>93</v>
      </c>
      <c r="F8" s="30" t="s">
        <v>111</v>
      </c>
    </row>
    <row r="9" spans="1:6" s="19" customFormat="1" ht="146.15" customHeight="1">
      <c r="A9" s="268"/>
      <c r="B9" s="273"/>
      <c r="C9" s="23" t="s">
        <v>112</v>
      </c>
      <c r="D9" s="31" t="s">
        <v>113</v>
      </c>
      <c r="E9" s="32" t="s">
        <v>93</v>
      </c>
      <c r="F9" s="32" t="s">
        <v>93</v>
      </c>
    </row>
    <row r="10" spans="1:6" s="19" customFormat="1" ht="177" customHeight="1">
      <c r="A10" s="268"/>
      <c r="B10" s="33" t="s">
        <v>114</v>
      </c>
      <c r="C10" s="23" t="s">
        <v>114</v>
      </c>
      <c r="D10" s="34" t="s">
        <v>115</v>
      </c>
      <c r="E10" s="35" t="s">
        <v>93</v>
      </c>
      <c r="F10" s="36" t="s">
        <v>93</v>
      </c>
    </row>
    <row r="11" spans="1:6" s="19" customFormat="1" ht="108">
      <c r="A11" s="268"/>
      <c r="B11" s="274" t="s">
        <v>83</v>
      </c>
      <c r="C11" s="37" t="s">
        <v>116</v>
      </c>
      <c r="D11" s="31" t="s">
        <v>117</v>
      </c>
      <c r="E11" s="29" t="s">
        <v>93</v>
      </c>
      <c r="F11" s="38" t="s">
        <v>93</v>
      </c>
    </row>
    <row r="12" spans="1:6" s="19" customFormat="1" ht="36">
      <c r="A12" s="268"/>
      <c r="B12" s="271"/>
      <c r="C12" s="23" t="s">
        <v>118</v>
      </c>
      <c r="D12" s="24" t="s">
        <v>119</v>
      </c>
      <c r="E12" s="38" t="s">
        <v>93</v>
      </c>
      <c r="F12" s="39" t="s">
        <v>93</v>
      </c>
    </row>
    <row r="13" spans="1:6" s="19" customFormat="1" ht="72">
      <c r="A13" s="268"/>
      <c r="B13" s="271"/>
      <c r="C13" s="37" t="s">
        <v>120</v>
      </c>
      <c r="D13" s="24" t="s">
        <v>121</v>
      </c>
      <c r="E13" s="38" t="s">
        <v>93</v>
      </c>
      <c r="F13" s="39" t="s">
        <v>93</v>
      </c>
    </row>
    <row r="14" spans="1:6" s="19" customFormat="1" ht="72">
      <c r="A14" s="268"/>
      <c r="B14" s="271"/>
      <c r="C14" s="23" t="s">
        <v>122</v>
      </c>
      <c r="D14" s="24" t="s">
        <v>123</v>
      </c>
      <c r="E14" s="38" t="s">
        <v>93</v>
      </c>
      <c r="F14" s="40"/>
    </row>
    <row r="15" spans="1:6" s="19" customFormat="1">
      <c r="A15" s="268"/>
      <c r="B15" s="271"/>
      <c r="C15" s="41" t="s">
        <v>124</v>
      </c>
      <c r="D15" s="42" t="s">
        <v>125</v>
      </c>
      <c r="E15" s="38" t="s">
        <v>93</v>
      </c>
      <c r="F15" s="43" t="s">
        <v>93</v>
      </c>
    </row>
    <row r="16" spans="1:6" s="19" customFormat="1" ht="240">
      <c r="A16" s="268"/>
      <c r="B16" s="271"/>
      <c r="C16" s="44" t="s">
        <v>126</v>
      </c>
      <c r="D16" s="24" t="s">
        <v>127</v>
      </c>
      <c r="E16" s="157" t="s">
        <v>128</v>
      </c>
      <c r="F16" s="45" t="s">
        <v>129</v>
      </c>
    </row>
    <row r="17" spans="1:6" s="19" customFormat="1" ht="36.5" thickBot="1">
      <c r="A17" s="269"/>
      <c r="B17" s="275"/>
      <c r="C17" s="46" t="s">
        <v>130</v>
      </c>
      <c r="D17" s="47" t="s">
        <v>131</v>
      </c>
      <c r="E17" s="48" t="s">
        <v>93</v>
      </c>
      <c r="F17" s="49" t="s">
        <v>132</v>
      </c>
    </row>
    <row r="18" spans="1:6" s="19" customFormat="1" ht="13.5" thickBot="1">
      <c r="A18" s="50"/>
      <c r="B18" s="51"/>
      <c r="C18" s="51"/>
      <c r="D18" s="52"/>
      <c r="E18" s="53"/>
      <c r="F18" s="53"/>
    </row>
    <row r="19" spans="1:6" s="19" customFormat="1" ht="24.5" thickBot="1">
      <c r="A19" s="258" t="s">
        <v>133</v>
      </c>
      <c r="B19" s="259"/>
      <c r="C19" s="260"/>
      <c r="D19" s="54" t="s">
        <v>134</v>
      </c>
      <c r="E19" s="55"/>
      <c r="F19" s="55"/>
    </row>
    <row r="20" spans="1:6" s="19" customFormat="1" ht="13.5" thickBot="1">
      <c r="A20" s="56"/>
      <c r="B20" s="57"/>
      <c r="C20" s="57"/>
      <c r="D20" s="52"/>
      <c r="E20" s="53"/>
      <c r="F20" s="53"/>
    </row>
    <row r="21" spans="1:6" s="19" customFormat="1" ht="24.5" thickBot="1">
      <c r="A21" s="261" t="s">
        <v>135</v>
      </c>
      <c r="B21" s="262"/>
      <c r="C21" s="262"/>
      <c r="D21" s="58" t="s">
        <v>136</v>
      </c>
      <c r="E21" s="59"/>
      <c r="F21" s="60" t="s">
        <v>132</v>
      </c>
    </row>
  </sheetData>
  <sheetProtection algorithmName="SHA-512" hashValue="4Fuh319WcmNvJIr7219WDSf+4CAvhDNjWiy0e4SU9U0zveTcrkcDQmSjOHox8xiUZ9UCznu8icKXU2JbtMm5HA==" saltValue="ApANqwaZzFNnMDocl02DJw==" spinCount="100000" sheet="1" formatRows="0"/>
  <mergeCells count="8">
    <mergeCell ref="A19:C19"/>
    <mergeCell ref="A21:C21"/>
    <mergeCell ref="A2:F2"/>
    <mergeCell ref="E3:F3"/>
    <mergeCell ref="A6:A17"/>
    <mergeCell ref="B6:B7"/>
    <mergeCell ref="B8:B9"/>
    <mergeCell ref="B11:B17"/>
  </mergeCells>
  <phoneticPr fontId="2"/>
  <printOptions horizontalCentered="1"/>
  <pageMargins left="0.25" right="0.25" top="0.75" bottom="0.75" header="0.3" footer="0.3"/>
  <pageSetup paperSize="8" scale="73"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909C-9EC4-4AB4-AF5E-5CB6C3E6A7CF}">
  <sheetPr codeName="Sheet3"/>
  <dimension ref="A1:W61"/>
  <sheetViews>
    <sheetView showGridLines="0" topLeftCell="A27" zoomScale="110" zoomScaleNormal="110" workbookViewId="0">
      <selection activeCell="B46" sqref="B46:F47"/>
    </sheetView>
  </sheetViews>
  <sheetFormatPr defaultColWidth="9.140625" defaultRowHeight="13.5"/>
  <cols>
    <col min="1" max="1" width="2.78515625" style="63" customWidth="1"/>
    <col min="2" max="2" width="27.5703125" style="104" customWidth="1"/>
    <col min="3" max="3" width="4.640625" style="63" customWidth="1"/>
    <col min="4" max="4" width="12.640625" style="63" customWidth="1"/>
    <col min="5" max="5" width="4.640625" style="63" customWidth="1"/>
    <col min="6" max="6" width="12.640625" style="63" customWidth="1"/>
    <col min="7" max="7" width="4.640625" style="63" customWidth="1"/>
    <col min="8" max="8" width="12.42578125" style="63" customWidth="1"/>
    <col min="9" max="9" width="4.640625" style="63" customWidth="1"/>
    <col min="10" max="10" width="12.640625" style="63" customWidth="1"/>
    <col min="11" max="11" width="7" style="63" customWidth="1"/>
    <col min="12" max="12" width="12.640625" style="63" customWidth="1"/>
    <col min="13" max="13" width="2.78515625" style="63" customWidth="1"/>
    <col min="14" max="14" width="9.85546875" style="63" customWidth="1"/>
    <col min="15" max="16384" width="9.140625" style="63"/>
  </cols>
  <sheetData>
    <row r="1" spans="1:14">
      <c r="A1" s="61" t="s">
        <v>137</v>
      </c>
      <c r="B1" s="62"/>
      <c r="C1" s="61"/>
      <c r="D1" s="61"/>
      <c r="E1" s="61"/>
      <c r="F1" s="61"/>
      <c r="G1" s="61"/>
      <c r="H1" s="61"/>
      <c r="I1" s="61"/>
      <c r="J1" s="61"/>
      <c r="K1" s="61"/>
      <c r="L1" s="61"/>
      <c r="M1" s="160" t="s">
        <v>138</v>
      </c>
      <c r="N1" s="61" t="s">
        <v>139</v>
      </c>
    </row>
    <row r="2" spans="1:14" ht="23.25" customHeight="1">
      <c r="A2" s="61"/>
      <c r="B2" s="276" t="s">
        <v>140</v>
      </c>
      <c r="C2" s="276"/>
      <c r="D2" s="276"/>
      <c r="E2" s="276"/>
      <c r="F2" s="276"/>
      <c r="G2" s="276"/>
      <c r="H2" s="276"/>
      <c r="I2" s="276"/>
      <c r="J2" s="276"/>
      <c r="K2" s="276"/>
      <c r="L2" s="276"/>
      <c r="M2" s="61"/>
      <c r="N2" s="61"/>
    </row>
    <row r="3" spans="1:14">
      <c r="A3" s="61"/>
      <c r="B3" s="61"/>
      <c r="C3" s="61"/>
      <c r="D3" s="61"/>
      <c r="E3" s="61"/>
      <c r="F3" s="61"/>
      <c r="G3" s="61"/>
      <c r="H3" s="61"/>
      <c r="I3" s="61"/>
      <c r="J3" s="61"/>
      <c r="K3" s="61"/>
      <c r="L3" s="61"/>
      <c r="M3" s="61"/>
      <c r="N3" s="61"/>
    </row>
    <row r="4" spans="1:14" ht="13.5" customHeight="1">
      <c r="A4" s="61"/>
      <c r="B4" s="64"/>
      <c r="C4" s="61"/>
      <c r="D4" s="61"/>
      <c r="E4" s="61"/>
      <c r="F4" s="61"/>
      <c r="G4" s="61"/>
      <c r="H4" s="61"/>
      <c r="I4" s="61"/>
      <c r="J4" s="61"/>
      <c r="K4" s="61"/>
      <c r="L4" s="61"/>
      <c r="M4" s="61"/>
      <c r="N4" s="61"/>
    </row>
    <row r="5" spans="1:14" ht="16">
      <c r="A5" s="65"/>
      <c r="B5" s="66"/>
      <c r="C5" s="67"/>
      <c r="D5" s="67"/>
      <c r="E5" s="65"/>
      <c r="F5" s="65"/>
      <c r="G5" s="65"/>
      <c r="H5" s="65"/>
      <c r="I5" s="65"/>
      <c r="J5" s="65"/>
      <c r="K5" s="65"/>
      <c r="L5" s="65"/>
      <c r="M5" s="65"/>
      <c r="N5" s="65"/>
    </row>
    <row r="6" spans="1:14">
      <c r="A6" s="65"/>
      <c r="B6" s="67"/>
      <c r="C6" s="68"/>
      <c r="D6" s="67"/>
      <c r="E6" s="69"/>
      <c r="F6" s="65"/>
      <c r="G6" s="70" t="s">
        <v>141</v>
      </c>
      <c r="H6" s="172"/>
      <c r="I6" s="69" t="s">
        <v>142</v>
      </c>
      <c r="J6" s="172"/>
      <c r="K6" s="69" t="s">
        <v>143</v>
      </c>
      <c r="L6" s="172"/>
      <c r="M6" s="69" t="s">
        <v>144</v>
      </c>
      <c r="N6" s="65"/>
    </row>
    <row r="7" spans="1:14" ht="14" thickBot="1">
      <c r="A7" s="65"/>
      <c r="B7" s="68" t="s">
        <v>145</v>
      </c>
      <c r="C7" s="67"/>
      <c r="D7" s="65"/>
      <c r="E7" s="65"/>
      <c r="F7" s="65"/>
      <c r="G7" s="65"/>
      <c r="H7" s="65"/>
      <c r="I7" s="65"/>
      <c r="J7" s="65"/>
      <c r="K7" s="65"/>
      <c r="L7" s="65"/>
      <c r="M7" s="65"/>
      <c r="N7" s="65"/>
    </row>
    <row r="8" spans="1:14">
      <c r="A8" s="65"/>
      <c r="B8" s="106" t="s">
        <v>146</v>
      </c>
      <c r="C8" s="318"/>
      <c r="D8" s="318"/>
      <c r="E8" s="318"/>
      <c r="F8" s="318"/>
      <c r="G8" s="318"/>
      <c r="H8" s="318"/>
      <c r="I8" s="318"/>
      <c r="J8" s="318"/>
      <c r="K8" s="318"/>
      <c r="L8" s="319"/>
      <c r="M8" s="65"/>
      <c r="N8" s="65"/>
    </row>
    <row r="9" spans="1:14" ht="35.15" customHeight="1">
      <c r="A9" s="65"/>
      <c r="B9" s="107"/>
      <c r="C9" s="289" t="s">
        <v>147</v>
      </c>
      <c r="D9" s="290"/>
      <c r="E9" s="290"/>
      <c r="F9" s="290"/>
      <c r="G9" s="290"/>
      <c r="H9" s="290"/>
      <c r="I9" s="290"/>
      <c r="J9" s="290"/>
      <c r="K9" s="290"/>
      <c r="L9" s="291"/>
      <c r="M9" s="65"/>
      <c r="N9" s="65"/>
    </row>
    <row r="10" spans="1:14">
      <c r="A10" s="65"/>
      <c r="B10" s="108" t="s">
        <v>148</v>
      </c>
      <c r="C10" s="283"/>
      <c r="D10" s="283"/>
      <c r="E10" s="283"/>
      <c r="F10" s="283"/>
      <c r="G10" s="283"/>
      <c r="H10" s="283"/>
      <c r="I10" s="283"/>
      <c r="J10" s="283"/>
      <c r="K10" s="283"/>
      <c r="L10" s="284"/>
      <c r="M10" s="65"/>
      <c r="N10" s="65"/>
    </row>
    <row r="11" spans="1:14" ht="14.25" customHeight="1">
      <c r="A11" s="65"/>
      <c r="B11" s="109"/>
      <c r="C11" s="289" t="s">
        <v>149</v>
      </c>
      <c r="D11" s="290"/>
      <c r="E11" s="290"/>
      <c r="F11" s="290"/>
      <c r="G11" s="290"/>
      <c r="H11" s="290"/>
      <c r="I11" s="290"/>
      <c r="J11" s="290"/>
      <c r="K11" s="290"/>
      <c r="L11" s="291"/>
      <c r="M11" s="65"/>
      <c r="N11" s="65"/>
    </row>
    <row r="12" spans="1:14">
      <c r="A12" s="65"/>
      <c r="B12" s="110" t="s">
        <v>150</v>
      </c>
      <c r="C12" s="71" t="s">
        <v>151</v>
      </c>
      <c r="D12" s="320"/>
      <c r="E12" s="320"/>
      <c r="F12" s="320"/>
      <c r="G12" s="320"/>
      <c r="H12" s="320"/>
      <c r="I12" s="320"/>
      <c r="J12" s="320"/>
      <c r="K12" s="320"/>
      <c r="L12" s="321"/>
      <c r="M12" s="65"/>
      <c r="N12" s="65"/>
    </row>
    <row r="13" spans="1:14">
      <c r="A13" s="65"/>
      <c r="B13" s="111"/>
      <c r="C13" s="65" t="s">
        <v>152</v>
      </c>
      <c r="D13" s="294"/>
      <c r="E13" s="294"/>
      <c r="F13" s="294"/>
      <c r="G13" s="294"/>
      <c r="H13" s="294"/>
      <c r="I13" s="294"/>
      <c r="J13" s="294"/>
      <c r="K13" s="294"/>
      <c r="L13" s="295"/>
      <c r="M13" s="65"/>
      <c r="N13" s="65"/>
    </row>
    <row r="14" spans="1:14" ht="14.25" customHeight="1">
      <c r="A14" s="65"/>
      <c r="B14" s="111"/>
      <c r="C14" s="289" t="s">
        <v>153</v>
      </c>
      <c r="D14" s="290"/>
      <c r="E14" s="290"/>
      <c r="F14" s="290"/>
      <c r="G14" s="290"/>
      <c r="H14" s="290"/>
      <c r="I14" s="290"/>
      <c r="J14" s="290"/>
      <c r="K14" s="290"/>
      <c r="L14" s="291"/>
      <c r="M14" s="65"/>
      <c r="N14" s="65"/>
    </row>
    <row r="15" spans="1:14">
      <c r="A15" s="65"/>
      <c r="B15" s="112" t="s">
        <v>154</v>
      </c>
      <c r="C15" s="285"/>
      <c r="D15" s="286"/>
      <c r="E15" s="149" t="s">
        <v>142</v>
      </c>
      <c r="F15" s="173"/>
      <c r="G15" s="150" t="s">
        <v>143</v>
      </c>
      <c r="H15" s="173"/>
      <c r="I15" s="149" t="s">
        <v>144</v>
      </c>
      <c r="J15" s="287"/>
      <c r="K15" s="287"/>
      <c r="L15" s="288"/>
      <c r="M15" s="65"/>
      <c r="N15" s="65"/>
    </row>
    <row r="16" spans="1:14" ht="27">
      <c r="A16" s="65"/>
      <c r="B16" s="108" t="s">
        <v>155</v>
      </c>
      <c r="C16" s="283"/>
      <c r="D16" s="283"/>
      <c r="E16" s="283"/>
      <c r="F16" s="283"/>
      <c r="G16" s="283"/>
      <c r="H16" s="283"/>
      <c r="I16" s="283"/>
      <c r="J16" s="283"/>
      <c r="K16" s="283"/>
      <c r="L16" s="284"/>
      <c r="M16" s="65"/>
      <c r="N16" s="65"/>
    </row>
    <row r="17" spans="1:14" ht="14.25" customHeight="1">
      <c r="A17" s="65"/>
      <c r="B17" s="109"/>
      <c r="C17" s="289" t="s">
        <v>156</v>
      </c>
      <c r="D17" s="290"/>
      <c r="E17" s="290"/>
      <c r="F17" s="290"/>
      <c r="G17" s="290"/>
      <c r="H17" s="290"/>
      <c r="I17" s="290"/>
      <c r="J17" s="290"/>
      <c r="K17" s="290"/>
      <c r="L17" s="291"/>
      <c r="M17" s="65"/>
      <c r="N17" s="65"/>
    </row>
    <row r="18" spans="1:14">
      <c r="A18" s="65"/>
      <c r="B18" s="112" t="s">
        <v>157</v>
      </c>
      <c r="C18" s="286"/>
      <c r="D18" s="286"/>
      <c r="E18" s="286"/>
      <c r="F18" s="286"/>
      <c r="G18" s="286"/>
      <c r="H18" s="286"/>
      <c r="I18" s="286"/>
      <c r="J18" s="286"/>
      <c r="K18" s="286"/>
      <c r="L18" s="317"/>
      <c r="M18" s="65"/>
      <c r="N18" s="65"/>
    </row>
    <row r="19" spans="1:14">
      <c r="A19" s="65"/>
      <c r="B19" s="112" t="s">
        <v>158</v>
      </c>
      <c r="C19" s="286"/>
      <c r="D19" s="286"/>
      <c r="E19" s="286"/>
      <c r="F19" s="286"/>
      <c r="G19" s="286"/>
      <c r="H19" s="286"/>
      <c r="I19" s="286"/>
      <c r="J19" s="286"/>
      <c r="K19" s="286"/>
      <c r="L19" s="317"/>
      <c r="M19" s="65"/>
      <c r="N19" s="65"/>
    </row>
    <row r="20" spans="1:14" ht="15" customHeight="1">
      <c r="A20" s="65"/>
      <c r="B20" s="113" t="s">
        <v>159</v>
      </c>
      <c r="C20" s="285"/>
      <c r="D20" s="286"/>
      <c r="E20" s="286"/>
      <c r="F20" s="286"/>
      <c r="G20" s="286"/>
      <c r="H20" s="299" t="s">
        <v>160</v>
      </c>
      <c r="I20" s="300"/>
      <c r="J20" s="300"/>
      <c r="K20" s="300"/>
      <c r="L20" s="174"/>
      <c r="M20" s="65"/>
      <c r="N20" s="65"/>
    </row>
    <row r="21" spans="1:14">
      <c r="A21" s="65"/>
      <c r="B21" s="108" t="s">
        <v>161</v>
      </c>
      <c r="C21" s="283"/>
      <c r="D21" s="283"/>
      <c r="E21" s="283"/>
      <c r="F21" s="283"/>
      <c r="G21" s="283"/>
      <c r="H21" s="283"/>
      <c r="I21" s="283"/>
      <c r="J21" s="283"/>
      <c r="K21" s="283"/>
      <c r="L21" s="284"/>
      <c r="M21" s="65"/>
      <c r="N21" s="65"/>
    </row>
    <row r="22" spans="1:14" ht="35.15" customHeight="1">
      <c r="A22" s="65"/>
      <c r="B22" s="109"/>
      <c r="C22" s="289" t="s">
        <v>162</v>
      </c>
      <c r="D22" s="290"/>
      <c r="E22" s="290"/>
      <c r="F22" s="290"/>
      <c r="G22" s="290"/>
      <c r="H22" s="290"/>
      <c r="I22" s="290"/>
      <c r="J22" s="290"/>
      <c r="K22" s="290"/>
      <c r="L22" s="291"/>
      <c r="M22" s="65"/>
      <c r="N22" s="65"/>
    </row>
    <row r="23" spans="1:14">
      <c r="A23" s="65"/>
      <c r="B23" s="148" t="s">
        <v>163</v>
      </c>
      <c r="C23" s="294"/>
      <c r="D23" s="294"/>
      <c r="E23" s="294"/>
      <c r="F23" s="294"/>
      <c r="G23" s="294"/>
      <c r="H23" s="294"/>
      <c r="I23" s="294"/>
      <c r="J23" s="294"/>
      <c r="K23" s="294"/>
      <c r="L23" s="295"/>
      <c r="M23" s="65"/>
      <c r="N23" s="65"/>
    </row>
    <row r="24" spans="1:14" ht="35.15" customHeight="1" thickBot="1">
      <c r="A24" s="65"/>
      <c r="B24" s="114"/>
      <c r="C24" s="296" t="s">
        <v>164</v>
      </c>
      <c r="D24" s="297"/>
      <c r="E24" s="297"/>
      <c r="F24" s="297"/>
      <c r="G24" s="297"/>
      <c r="H24" s="297"/>
      <c r="I24" s="297"/>
      <c r="J24" s="297"/>
      <c r="K24" s="297"/>
      <c r="L24" s="298"/>
      <c r="M24" s="65"/>
      <c r="N24" s="65"/>
    </row>
    <row r="25" spans="1:14">
      <c r="A25" s="65"/>
      <c r="B25" s="67"/>
      <c r="C25" s="72"/>
      <c r="D25" s="73"/>
      <c r="E25" s="73"/>
      <c r="F25" s="73"/>
      <c r="G25" s="73"/>
      <c r="H25" s="73"/>
      <c r="I25" s="73"/>
      <c r="J25" s="73"/>
      <c r="K25" s="73"/>
      <c r="L25" s="73"/>
      <c r="M25" s="65"/>
      <c r="N25" s="65"/>
    </row>
    <row r="26" spans="1:14" ht="14" thickBot="1">
      <c r="A26" s="65"/>
      <c r="B26" s="69" t="s">
        <v>165</v>
      </c>
      <c r="C26" s="65"/>
      <c r="D26" s="65"/>
      <c r="E26" s="65"/>
      <c r="F26" s="65"/>
      <c r="G26" s="65"/>
      <c r="H26" s="65"/>
      <c r="I26" s="65"/>
      <c r="J26" s="65"/>
      <c r="K26" s="65"/>
      <c r="L26" s="65"/>
      <c r="M26" s="65"/>
      <c r="N26" s="65"/>
    </row>
    <row r="27" spans="1:14">
      <c r="A27" s="65"/>
      <c r="B27" s="106" t="s">
        <v>166</v>
      </c>
      <c r="C27" s="292"/>
      <c r="D27" s="292"/>
      <c r="E27" s="292"/>
      <c r="F27" s="292"/>
      <c r="G27" s="292"/>
      <c r="H27" s="292"/>
      <c r="I27" s="292"/>
      <c r="J27" s="292"/>
      <c r="K27" s="292"/>
      <c r="L27" s="293"/>
      <c r="M27" s="65"/>
      <c r="N27" s="65"/>
    </row>
    <row r="28" spans="1:14" ht="45" customHeight="1">
      <c r="A28" s="65"/>
      <c r="B28" s="107"/>
      <c r="C28" s="289" t="s">
        <v>167</v>
      </c>
      <c r="D28" s="290"/>
      <c r="E28" s="290"/>
      <c r="F28" s="290"/>
      <c r="G28" s="290"/>
      <c r="H28" s="290"/>
      <c r="I28" s="290"/>
      <c r="J28" s="290"/>
      <c r="K28" s="290"/>
      <c r="L28" s="291"/>
      <c r="M28" s="65"/>
      <c r="N28" s="65"/>
    </row>
    <row r="29" spans="1:14">
      <c r="A29" s="65"/>
      <c r="B29" s="115" t="s">
        <v>168</v>
      </c>
      <c r="C29" s="283"/>
      <c r="D29" s="283"/>
      <c r="E29" s="283"/>
      <c r="F29" s="283"/>
      <c r="G29" s="283"/>
      <c r="H29" s="283"/>
      <c r="I29" s="283"/>
      <c r="J29" s="283"/>
      <c r="K29" s="283"/>
      <c r="L29" s="284"/>
      <c r="M29" s="65"/>
      <c r="N29" s="65"/>
    </row>
    <row r="30" spans="1:14" ht="45" customHeight="1">
      <c r="A30" s="65"/>
      <c r="B30" s="158"/>
      <c r="C30" s="277" t="s">
        <v>169</v>
      </c>
      <c r="D30" s="278"/>
      <c r="E30" s="278"/>
      <c r="F30" s="278"/>
      <c r="G30" s="278"/>
      <c r="H30" s="278"/>
      <c r="I30" s="278"/>
      <c r="J30" s="278"/>
      <c r="K30" s="278"/>
      <c r="L30" s="279"/>
      <c r="M30" s="65"/>
      <c r="N30" s="65"/>
    </row>
    <row r="31" spans="1:14">
      <c r="A31" s="65"/>
      <c r="B31" s="113" t="s">
        <v>170</v>
      </c>
      <c r="C31" s="280"/>
      <c r="D31" s="281"/>
      <c r="E31" s="281"/>
      <c r="F31" s="281"/>
      <c r="G31" s="281"/>
      <c r="H31" s="281"/>
      <c r="I31" s="281"/>
      <c r="J31" s="281"/>
      <c r="K31" s="281"/>
      <c r="L31" s="282"/>
      <c r="M31" s="65"/>
      <c r="N31" s="65"/>
    </row>
    <row r="32" spans="1:14" ht="27">
      <c r="A32" s="65"/>
      <c r="B32" s="110" t="s">
        <v>171</v>
      </c>
      <c r="C32" s="74"/>
      <c r="D32" s="75" t="s">
        <v>172</v>
      </c>
      <c r="E32" s="76"/>
      <c r="F32" s="77" t="s">
        <v>173</v>
      </c>
      <c r="G32" s="76"/>
      <c r="H32" s="77" t="s">
        <v>174</v>
      </c>
      <c r="I32" s="76"/>
      <c r="J32" s="78" t="s">
        <v>175</v>
      </c>
      <c r="K32" s="301"/>
      <c r="L32" s="302"/>
      <c r="M32" s="65"/>
      <c r="N32" s="65"/>
    </row>
    <row r="33" spans="1:23" ht="27">
      <c r="A33" s="65"/>
      <c r="B33" s="116"/>
      <c r="C33" s="79"/>
      <c r="D33" s="80" t="s">
        <v>176</v>
      </c>
      <c r="E33" s="81"/>
      <c r="F33" s="168" t="s">
        <v>177</v>
      </c>
      <c r="G33" s="81"/>
      <c r="H33" s="168" t="s">
        <v>178</v>
      </c>
      <c r="I33" s="81"/>
      <c r="J33" s="82" t="s">
        <v>179</v>
      </c>
      <c r="K33" s="303"/>
      <c r="L33" s="304"/>
      <c r="M33" s="65"/>
      <c r="N33" s="65"/>
    </row>
    <row r="34" spans="1:23" ht="35.15" customHeight="1">
      <c r="A34" s="65"/>
      <c r="B34" s="116"/>
      <c r="C34" s="289" t="s">
        <v>180</v>
      </c>
      <c r="D34" s="290"/>
      <c r="E34" s="290"/>
      <c r="F34" s="290"/>
      <c r="G34" s="290"/>
      <c r="H34" s="290"/>
      <c r="I34" s="290"/>
      <c r="J34" s="290"/>
      <c r="K34" s="290"/>
      <c r="L34" s="291"/>
      <c r="M34" s="65"/>
      <c r="N34" s="159" t="s">
        <v>181</v>
      </c>
    </row>
    <row r="35" spans="1:23" ht="34" customHeight="1">
      <c r="A35" s="65"/>
      <c r="B35" s="108" t="s">
        <v>182</v>
      </c>
      <c r="C35" s="305"/>
      <c r="D35" s="305"/>
      <c r="E35" s="305"/>
      <c r="F35" s="305"/>
      <c r="G35" s="305"/>
      <c r="H35" s="305"/>
      <c r="I35" s="305"/>
      <c r="J35" s="305"/>
      <c r="K35" s="306"/>
      <c r="L35" s="307"/>
      <c r="M35" s="65"/>
      <c r="N35" s="161">
        <f>LEN(C35)</f>
        <v>0</v>
      </c>
    </row>
    <row r="36" spans="1:23" ht="35.15" customHeight="1" thickBot="1">
      <c r="A36" s="65"/>
      <c r="B36" s="114"/>
      <c r="C36" s="296" t="s">
        <v>183</v>
      </c>
      <c r="D36" s="297"/>
      <c r="E36" s="297"/>
      <c r="F36" s="297"/>
      <c r="G36" s="297"/>
      <c r="H36" s="297"/>
      <c r="I36" s="297"/>
      <c r="J36" s="297"/>
      <c r="K36" s="297"/>
      <c r="L36" s="298"/>
      <c r="M36" s="65"/>
      <c r="N36" s="83"/>
    </row>
    <row r="37" spans="1:23" ht="15">
      <c r="A37" s="65"/>
      <c r="B37" s="67"/>
      <c r="C37" s="72"/>
      <c r="D37" s="73"/>
      <c r="E37" s="73"/>
      <c r="F37" s="73"/>
      <c r="G37" s="73"/>
      <c r="H37" s="73"/>
      <c r="I37" s="73"/>
      <c r="J37" s="73"/>
      <c r="K37" s="73"/>
      <c r="L37" s="73"/>
      <c r="M37" s="65"/>
      <c r="N37" s="65"/>
      <c r="U37" s="220"/>
      <c r="V37" s="220"/>
      <c r="W37" s="220"/>
    </row>
    <row r="38" spans="1:23" ht="15.5" thickBot="1">
      <c r="A38" s="65"/>
      <c r="B38" s="69" t="s">
        <v>184</v>
      </c>
      <c r="C38" s="65"/>
      <c r="D38" s="65"/>
      <c r="E38" s="65"/>
      <c r="F38" s="65"/>
      <c r="G38" s="65"/>
      <c r="H38" s="65"/>
      <c r="I38" s="65"/>
      <c r="J38" s="65"/>
      <c r="K38" s="65"/>
      <c r="L38" s="65"/>
      <c r="M38" s="65"/>
      <c r="N38" s="65"/>
      <c r="U38" s="220"/>
      <c r="V38" s="220"/>
      <c r="W38" s="220"/>
    </row>
    <row r="39" spans="1:23" ht="33">
      <c r="A39" s="65"/>
      <c r="B39" s="117" t="s">
        <v>185</v>
      </c>
      <c r="C39" s="84"/>
      <c r="D39" s="85" t="s">
        <v>186</v>
      </c>
      <c r="E39" s="84"/>
      <c r="F39" s="86" t="s">
        <v>187</v>
      </c>
      <c r="G39" s="87"/>
      <c r="H39" s="86" t="s">
        <v>188</v>
      </c>
      <c r="I39" s="87"/>
      <c r="J39" s="86" t="s">
        <v>189</v>
      </c>
      <c r="K39" s="87"/>
      <c r="L39" s="88" t="s">
        <v>190</v>
      </c>
      <c r="M39" s="65"/>
      <c r="N39" s="65"/>
      <c r="U39" s="220"/>
      <c r="V39" s="220"/>
      <c r="W39" s="220"/>
    </row>
    <row r="40" spans="1:23" ht="55">
      <c r="A40" s="65"/>
      <c r="B40" s="116"/>
      <c r="C40" s="79"/>
      <c r="D40" s="89" t="s">
        <v>191</v>
      </c>
      <c r="E40" s="79"/>
      <c r="F40" s="90" t="s">
        <v>192</v>
      </c>
      <c r="G40" s="91"/>
      <c r="H40" s="90" t="s">
        <v>193</v>
      </c>
      <c r="I40" s="91"/>
      <c r="J40" s="90" t="s">
        <v>194</v>
      </c>
      <c r="K40" s="91"/>
      <c r="L40" s="92" t="s">
        <v>195</v>
      </c>
      <c r="M40" s="65"/>
      <c r="N40" s="65"/>
      <c r="U40" s="220"/>
      <c r="V40" s="220"/>
      <c r="W40" s="220"/>
    </row>
    <row r="41" spans="1:23" ht="35.15" customHeight="1">
      <c r="A41" s="65"/>
      <c r="B41" s="116"/>
      <c r="C41" s="289" t="s">
        <v>196</v>
      </c>
      <c r="D41" s="290"/>
      <c r="E41" s="290"/>
      <c r="F41" s="290"/>
      <c r="G41" s="290"/>
      <c r="H41" s="290"/>
      <c r="I41" s="290"/>
      <c r="J41" s="290"/>
      <c r="K41" s="290"/>
      <c r="L41" s="291"/>
      <c r="M41" s="65"/>
      <c r="N41" s="65"/>
      <c r="U41" s="220"/>
      <c r="V41" s="220"/>
      <c r="W41" s="220"/>
    </row>
    <row r="42" spans="1:23" ht="74.150000000000006" customHeight="1">
      <c r="A42" s="65"/>
      <c r="B42" s="108" t="s">
        <v>197</v>
      </c>
      <c r="C42" s="305"/>
      <c r="D42" s="305"/>
      <c r="E42" s="305"/>
      <c r="F42" s="305"/>
      <c r="G42" s="305"/>
      <c r="H42" s="305"/>
      <c r="I42" s="305"/>
      <c r="J42" s="305"/>
      <c r="K42" s="305"/>
      <c r="L42" s="310"/>
      <c r="M42" s="65"/>
      <c r="N42" s="161">
        <f>LEN(C42)</f>
        <v>0</v>
      </c>
      <c r="U42" s="220"/>
      <c r="V42" s="220"/>
      <c r="W42" s="220"/>
    </row>
    <row r="43" spans="1:23" ht="35.15" customHeight="1" thickBot="1">
      <c r="A43" s="65"/>
      <c r="B43" s="118"/>
      <c r="C43" s="296" t="s">
        <v>198</v>
      </c>
      <c r="D43" s="297"/>
      <c r="E43" s="297"/>
      <c r="F43" s="297"/>
      <c r="G43" s="297"/>
      <c r="H43" s="297"/>
      <c r="I43" s="297"/>
      <c r="J43" s="297"/>
      <c r="K43" s="297"/>
      <c r="L43" s="298"/>
      <c r="M43" s="65"/>
      <c r="N43" s="83"/>
      <c r="U43" s="220"/>
      <c r="V43" s="220"/>
      <c r="W43" s="220"/>
    </row>
    <row r="44" spans="1:23" ht="15">
      <c r="A44" s="65"/>
      <c r="B44" s="67"/>
      <c r="C44" s="72"/>
      <c r="D44" s="73"/>
      <c r="E44" s="73"/>
      <c r="F44" s="73"/>
      <c r="G44" s="73"/>
      <c r="H44" s="73"/>
      <c r="I44" s="73"/>
      <c r="J44" s="73"/>
      <c r="K44" s="73"/>
      <c r="L44" s="73"/>
      <c r="M44" s="65"/>
      <c r="N44" s="65"/>
      <c r="U44" s="220"/>
      <c r="V44" s="220"/>
      <c r="W44" s="220"/>
    </row>
    <row r="45" spans="1:23" ht="14" thickBot="1">
      <c r="A45" s="65"/>
      <c r="B45" s="69" t="s">
        <v>199</v>
      </c>
      <c r="C45" s="65"/>
      <c r="D45" s="65"/>
      <c r="E45" s="65"/>
      <c r="F45" s="65"/>
      <c r="G45" s="65"/>
      <c r="H45" s="65"/>
      <c r="I45" s="65"/>
      <c r="J45" s="65"/>
      <c r="K45" s="65"/>
      <c r="L45" s="65"/>
      <c r="M45" s="65"/>
      <c r="N45" s="65"/>
    </row>
    <row r="46" spans="1:23" ht="16.5" customHeight="1">
      <c r="A46" s="65"/>
      <c r="B46" s="119" t="s">
        <v>200</v>
      </c>
      <c r="C46" s="311" t="s">
        <v>201</v>
      </c>
      <c r="D46" s="312"/>
      <c r="E46" s="93" t="s">
        <v>202</v>
      </c>
      <c r="F46" s="94"/>
      <c r="G46" s="93"/>
      <c r="H46" s="93"/>
      <c r="I46" s="93"/>
      <c r="J46" s="93"/>
      <c r="K46" s="93"/>
      <c r="L46" s="95"/>
      <c r="M46" s="65"/>
      <c r="N46" s="65"/>
    </row>
    <row r="47" spans="1:23">
      <c r="A47" s="65"/>
      <c r="B47" s="120"/>
      <c r="C47" s="313"/>
      <c r="D47" s="314"/>
      <c r="E47" s="315" t="s">
        <v>203</v>
      </c>
      <c r="F47" s="316"/>
      <c r="G47" s="316" t="s">
        <v>204</v>
      </c>
      <c r="H47" s="316"/>
      <c r="I47" s="316" t="s">
        <v>205</v>
      </c>
      <c r="J47" s="316"/>
      <c r="K47" s="166" t="s">
        <v>206</v>
      </c>
      <c r="L47" s="96" t="s">
        <v>207</v>
      </c>
      <c r="M47" s="65"/>
      <c r="N47" s="65"/>
    </row>
    <row r="48" spans="1:23" ht="28.5" customHeight="1">
      <c r="A48" s="65"/>
      <c r="B48" s="121"/>
      <c r="C48" s="97" t="s">
        <v>208</v>
      </c>
      <c r="D48" s="151">
        <f>SUM(E48:L48)</f>
        <v>0</v>
      </c>
      <c r="E48" s="308">
        <f>研究計画調書_3枚目!J31</f>
        <v>0</v>
      </c>
      <c r="F48" s="309"/>
      <c r="G48" s="309">
        <f>研究計画調書_3枚目!N31</f>
        <v>0</v>
      </c>
      <c r="H48" s="309"/>
      <c r="I48" s="309">
        <f>研究計画調書_3枚目!E60</f>
        <v>0</v>
      </c>
      <c r="J48" s="309"/>
      <c r="K48" s="167">
        <f>SUM(研究計画調書_3枚目!$J$60,研究計画調書_3枚目!$N$60)</f>
        <v>0</v>
      </c>
      <c r="L48" s="152">
        <f>研究計画調書_3枚目!E89</f>
        <v>0</v>
      </c>
      <c r="M48" s="65"/>
      <c r="N48" s="65"/>
    </row>
    <row r="49" spans="1:14" ht="35.15" customHeight="1" thickBot="1">
      <c r="A49" s="65"/>
      <c r="B49" s="122"/>
      <c r="C49" s="296" t="s">
        <v>209</v>
      </c>
      <c r="D49" s="297"/>
      <c r="E49" s="297"/>
      <c r="F49" s="297"/>
      <c r="G49" s="297"/>
      <c r="H49" s="297"/>
      <c r="I49" s="297"/>
      <c r="J49" s="297"/>
      <c r="K49" s="297"/>
      <c r="L49" s="298"/>
      <c r="M49" s="65"/>
      <c r="N49" s="65"/>
    </row>
    <row r="50" spans="1:14">
      <c r="A50" s="65"/>
      <c r="B50" s="168"/>
      <c r="C50" s="65"/>
      <c r="D50" s="65"/>
      <c r="E50" s="65"/>
      <c r="F50" s="65"/>
      <c r="G50" s="65"/>
      <c r="H50" s="65"/>
      <c r="I50" s="65"/>
      <c r="J50" s="65"/>
      <c r="K50" s="65"/>
      <c r="L50" s="65"/>
      <c r="M50" s="65"/>
      <c r="N50" s="65"/>
    </row>
    <row r="61" spans="1:14" ht="16">
      <c r="B61" s="123"/>
    </row>
  </sheetData>
  <sheetProtection algorithmName="SHA-512" hashValue="p6QcZWEmArAZcFxLgWum+nMb/2xMuOX+T9Ot/wBNiap0XVVuLEP+5csn5SeEafBh+TsMnf6romD+L3oTYwk+uw==" saltValue="H+M8yQTtoXfJY0aFSYQ65g==" spinCount="100000" sheet="1" formatCells="0" formatRows="0"/>
  <mergeCells count="40">
    <mergeCell ref="C17:L17"/>
    <mergeCell ref="C18:L18"/>
    <mergeCell ref="C19:L19"/>
    <mergeCell ref="D13:L13"/>
    <mergeCell ref="C8:L8"/>
    <mergeCell ref="C9:L9"/>
    <mergeCell ref="C10:L10"/>
    <mergeCell ref="C11:L11"/>
    <mergeCell ref="D12:L12"/>
    <mergeCell ref="C49:L49"/>
    <mergeCell ref="C41:L41"/>
    <mergeCell ref="C42:L42"/>
    <mergeCell ref="C43:L43"/>
    <mergeCell ref="C46:D47"/>
    <mergeCell ref="E47:F47"/>
    <mergeCell ref="G47:H47"/>
    <mergeCell ref="I47:J47"/>
    <mergeCell ref="C36:L36"/>
    <mergeCell ref="K32:L33"/>
    <mergeCell ref="C34:L34"/>
    <mergeCell ref="C35:L35"/>
    <mergeCell ref="E48:F48"/>
    <mergeCell ref="G48:H48"/>
    <mergeCell ref="I48:J48"/>
    <mergeCell ref="B2:L2"/>
    <mergeCell ref="C30:L30"/>
    <mergeCell ref="C31:L31"/>
    <mergeCell ref="C29:L29"/>
    <mergeCell ref="C15:D15"/>
    <mergeCell ref="J15:L15"/>
    <mergeCell ref="C21:L21"/>
    <mergeCell ref="C22:L22"/>
    <mergeCell ref="C27:L27"/>
    <mergeCell ref="C28:L28"/>
    <mergeCell ref="C23:L23"/>
    <mergeCell ref="C24:L24"/>
    <mergeCell ref="H20:K20"/>
    <mergeCell ref="C20:G20"/>
    <mergeCell ref="C14:L14"/>
    <mergeCell ref="C16:L16"/>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L13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E32:E33 G32:G33 I32:I33 C39:C40 E39:E40 G39:G40 I39:I40 C32:C33 K39:K40 L20" xr:uid="{17BB0DBB-F0FC-42A0-818E-B19CC9EF5753}">
      <formula1>"Y"</formula1>
    </dataValidation>
    <dataValidation type="whole" allowBlank="1" showInputMessage="1" showErrorMessage="1" sqref="D48:L48" xr:uid="{5D12DCB3-6583-4541-B856-1DE14B2A474A}">
      <formula1>100</formula1>
      <formula2>5000</formula2>
    </dataValidation>
    <dataValidation type="whole" operator="greaterThan" allowBlank="1" showInputMessage="1" showErrorMessage="1" sqref="C16:L16 H6 J6 L6" xr:uid="{9286CC51-7743-4C22-AEA4-B227D2D8AB45}">
      <formula1>0</formula1>
    </dataValidation>
    <dataValidation type="whole" operator="lessThan" allowBlank="1" showInputMessage="1" showErrorMessage="1" sqref="C8:L8" xr:uid="{C3D95031-1715-41F7-919D-A1CB0C5ECB82}">
      <formula1>100000000</formula1>
    </dataValidation>
    <dataValidation type="whole" allowBlank="1" showInputMessage="1" showErrorMessage="1" sqref="C15:D15" xr:uid="{8075E4A1-5E3A-4212-9406-58D6B00C672B}">
      <formula1>1000</formula1>
      <formula2>9999</formula2>
    </dataValidation>
    <dataValidation type="whole" allowBlank="1" showInputMessage="1" showErrorMessage="1" sqref="F15" xr:uid="{C7AA179A-4420-4AA4-A173-E0EAAB2FF16B}">
      <formula1>1</formula1>
      <formula2>12</formula2>
    </dataValidation>
    <dataValidation type="whole" allowBlank="1" showInputMessage="1" showErrorMessage="1" sqref="H15" xr:uid="{ED46A0B8-8AF7-4DEE-97FE-B181950B8ADE}">
      <formula1>1</formula1>
      <formula2>31</formula2>
    </dataValidation>
  </dataValidations>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FF3D61B2-8BB7-44D1-940B-3129A5FB018F}">
          <x14:formula1>
            <xm:f>リスト!$A$2:$A$11</xm:f>
          </x14:formula1>
          <xm:sqref>C27:L27</xm:sqref>
        </x14:dataValidation>
        <x14:dataValidation type="list" allowBlank="1" showInputMessage="1" showErrorMessage="1" xr:uid="{0C7E14F5-30C9-4209-BA7D-4B07743C54BF}">
          <x14:formula1>
            <xm:f>リスト!$B$2:$B$10</xm:f>
          </x14:formula1>
          <xm:sqref>C29:L29</xm:sqref>
        </x14:dataValidation>
        <x14:dataValidation type="list" allowBlank="1" showInputMessage="1" showErrorMessage="1" xr:uid="{15958825-6E57-4EBF-AE55-FA351B2B1DA3}">
          <x14:formula1>
            <xm:f>リスト!$D$2:$D$9</xm:f>
          </x14:formula1>
          <xm:sqref>C23:L23</xm:sqref>
        </x14:dataValidation>
        <x14:dataValidation type="list" allowBlank="1" showInputMessage="1" showErrorMessage="1" xr:uid="{318F151A-FA81-40D2-AB53-A8435DC479E5}">
          <x14:formula1>
            <xm:f>リスト!$C$2:$C$7</xm:f>
          </x14:formula1>
          <xm:sqref>C21:L21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B983-703D-4D96-96B7-88FE88EF4338}">
  <sheetPr codeName="Sheet4"/>
  <dimension ref="A1:F52"/>
  <sheetViews>
    <sheetView showGridLines="0" tabSelected="1" topLeftCell="A12" zoomScaleNormal="100" workbookViewId="0">
      <selection activeCell="D9" sqref="D9"/>
    </sheetView>
  </sheetViews>
  <sheetFormatPr defaultColWidth="9.140625" defaultRowHeight="13.5"/>
  <cols>
    <col min="1" max="1" width="2.85546875" style="63" customWidth="1"/>
    <col min="2" max="2" width="2.85546875" style="104" customWidth="1"/>
    <col min="3" max="3" width="34.85546875" style="63" customWidth="1"/>
    <col min="4" max="4" width="73" style="63" customWidth="1"/>
    <col min="5" max="5" width="12.140625" style="63" customWidth="1"/>
    <col min="6" max="6" width="4.85546875" style="63" bestFit="1" customWidth="1"/>
    <col min="7" max="16384" width="9.140625" style="63"/>
  </cols>
  <sheetData>
    <row r="1" spans="1:6">
      <c r="A1" s="61" t="s">
        <v>137</v>
      </c>
      <c r="B1" s="62"/>
      <c r="C1" s="61"/>
      <c r="D1" s="61"/>
      <c r="E1" s="160" t="s">
        <v>138</v>
      </c>
      <c r="F1" s="61" t="s">
        <v>210</v>
      </c>
    </row>
    <row r="2" spans="1:6" ht="16">
      <c r="A2" s="61"/>
      <c r="B2" s="64" t="s">
        <v>140</v>
      </c>
      <c r="C2" s="209"/>
      <c r="D2" s="61"/>
      <c r="E2" s="61"/>
      <c r="F2" s="61"/>
    </row>
    <row r="3" spans="1:6" ht="65.150000000000006" customHeight="1">
      <c r="A3" s="61"/>
      <c r="B3" s="328" t="s">
        <v>211</v>
      </c>
      <c r="C3" s="328"/>
      <c r="D3" s="328"/>
      <c r="E3" s="328"/>
      <c r="F3" s="61"/>
    </row>
    <row r="4" spans="1:6">
      <c r="A4" s="61"/>
      <c r="B4" s="61"/>
      <c r="C4" s="210"/>
      <c r="D4" s="61"/>
      <c r="E4" s="61"/>
      <c r="F4" s="61"/>
    </row>
    <row r="5" spans="1:6" ht="16.5" thickBot="1">
      <c r="A5" s="65"/>
      <c r="B5" s="68"/>
      <c r="C5" s="211"/>
      <c r="D5" s="65"/>
      <c r="E5" s="65"/>
      <c r="F5" s="65"/>
    </row>
    <row r="6" spans="1:6" ht="50.15" customHeight="1">
      <c r="A6" s="65"/>
      <c r="B6" s="212" t="s">
        <v>212</v>
      </c>
      <c r="C6" s="213" t="s">
        <v>2</v>
      </c>
      <c r="D6" s="214" t="s">
        <v>213</v>
      </c>
      <c r="E6" s="215" t="s">
        <v>214</v>
      </c>
      <c r="F6" s="65"/>
    </row>
    <row r="7" spans="1:6" ht="16">
      <c r="A7" s="65"/>
      <c r="B7" s="216"/>
      <c r="C7" s="217"/>
      <c r="D7" s="218"/>
      <c r="E7" s="219"/>
      <c r="F7" s="65"/>
    </row>
    <row r="8" spans="1:6" ht="108">
      <c r="A8" s="65"/>
      <c r="B8" s="202">
        <v>1</v>
      </c>
      <c r="C8" s="203" t="s">
        <v>215</v>
      </c>
      <c r="D8" s="348"/>
      <c r="E8" s="200">
        <f t="shared" ref="E8:E13" si="0">LEN($D8)</f>
        <v>0</v>
      </c>
      <c r="F8" s="65"/>
    </row>
    <row r="9" spans="1:6" ht="121.5">
      <c r="A9" s="65"/>
      <c r="B9" s="202">
        <v>2</v>
      </c>
      <c r="C9" s="203" t="s">
        <v>216</v>
      </c>
      <c r="D9" s="175"/>
      <c r="E9" s="200">
        <f t="shared" si="0"/>
        <v>0</v>
      </c>
      <c r="F9" s="65"/>
    </row>
    <row r="10" spans="1:6" ht="121.5">
      <c r="A10" s="65"/>
      <c r="B10" s="202">
        <v>3</v>
      </c>
      <c r="C10" s="203" t="s">
        <v>217</v>
      </c>
      <c r="D10" s="175"/>
      <c r="E10" s="200">
        <f t="shared" si="0"/>
        <v>0</v>
      </c>
      <c r="F10" s="65"/>
    </row>
    <row r="11" spans="1:6" ht="202.5">
      <c r="A11" s="65"/>
      <c r="B11" s="202">
        <v>4</v>
      </c>
      <c r="C11" s="203" t="s">
        <v>283</v>
      </c>
      <c r="D11" s="175"/>
      <c r="E11" s="200">
        <f t="shared" si="0"/>
        <v>0</v>
      </c>
      <c r="F11" s="65"/>
    </row>
    <row r="12" spans="1:6" ht="148.5">
      <c r="A12" s="65"/>
      <c r="B12" s="202">
        <v>5</v>
      </c>
      <c r="C12" s="204" t="s">
        <v>284</v>
      </c>
      <c r="D12" s="175"/>
      <c r="E12" s="200">
        <f t="shared" si="0"/>
        <v>0</v>
      </c>
      <c r="F12" s="65"/>
    </row>
    <row r="13" spans="1:6" ht="108">
      <c r="A13" s="65"/>
      <c r="B13" s="205">
        <v>6</v>
      </c>
      <c r="C13" s="206" t="s">
        <v>218</v>
      </c>
      <c r="D13" s="175"/>
      <c r="E13" s="201">
        <f t="shared" si="0"/>
        <v>0</v>
      </c>
      <c r="F13" s="65"/>
    </row>
    <row r="14" spans="1:6" ht="43" customHeight="1">
      <c r="A14" s="65"/>
      <c r="B14" s="205">
        <v>7</v>
      </c>
      <c r="C14" s="322" t="s">
        <v>219</v>
      </c>
      <c r="D14" s="176"/>
      <c r="E14" s="325"/>
      <c r="F14" s="65"/>
    </row>
    <row r="15" spans="1:6" ht="43" customHeight="1">
      <c r="A15" s="65"/>
      <c r="B15" s="207"/>
      <c r="C15" s="323"/>
      <c r="D15" s="176"/>
      <c r="E15" s="326"/>
      <c r="F15" s="65"/>
    </row>
    <row r="16" spans="1:6" ht="43" customHeight="1">
      <c r="A16" s="65"/>
      <c r="B16" s="207"/>
      <c r="C16" s="323"/>
      <c r="D16" s="176"/>
      <c r="E16" s="326"/>
      <c r="F16" s="65"/>
    </row>
    <row r="17" spans="1:6" ht="43" customHeight="1">
      <c r="A17" s="65"/>
      <c r="B17" s="207"/>
      <c r="C17" s="323"/>
      <c r="D17" s="176"/>
      <c r="E17" s="326"/>
      <c r="F17" s="65"/>
    </row>
    <row r="18" spans="1:6" ht="43" customHeight="1" thickBot="1">
      <c r="A18" s="65"/>
      <c r="B18" s="208"/>
      <c r="C18" s="324"/>
      <c r="D18" s="177"/>
      <c r="E18" s="327"/>
      <c r="F18" s="65"/>
    </row>
    <row r="19" spans="1:6">
      <c r="A19" s="65"/>
      <c r="B19" s="168"/>
      <c r="C19" s="65"/>
      <c r="D19" s="65"/>
      <c r="E19" s="65"/>
      <c r="F19" s="65"/>
    </row>
    <row r="20" spans="1:6" ht="60" customHeight="1" thickBot="1">
      <c r="A20" s="65"/>
      <c r="B20" s="329" t="s">
        <v>220</v>
      </c>
      <c r="C20" s="329"/>
      <c r="D20" s="329"/>
      <c r="E20" s="329"/>
      <c r="F20" s="65"/>
    </row>
    <row r="21" spans="1:6" ht="15" customHeight="1">
      <c r="A21" s="65"/>
      <c r="B21" s="190"/>
      <c r="C21" s="191"/>
      <c r="D21" s="191"/>
      <c r="E21" s="192"/>
      <c r="F21" s="65"/>
    </row>
    <row r="22" spans="1:6" ht="15" customHeight="1">
      <c r="A22" s="65"/>
      <c r="B22" s="193"/>
      <c r="C22" s="189"/>
      <c r="D22" s="189"/>
      <c r="E22" s="194"/>
      <c r="F22" s="65"/>
    </row>
    <row r="23" spans="1:6" ht="15" customHeight="1">
      <c r="A23" s="65"/>
      <c r="B23" s="193"/>
      <c r="C23" s="189"/>
      <c r="D23" s="189"/>
      <c r="E23" s="194"/>
      <c r="F23" s="65"/>
    </row>
    <row r="24" spans="1:6" ht="15" customHeight="1">
      <c r="A24" s="65"/>
      <c r="B24" s="193"/>
      <c r="C24" s="189"/>
      <c r="D24" s="189"/>
      <c r="E24" s="194"/>
      <c r="F24" s="65"/>
    </row>
    <row r="25" spans="1:6" ht="15" customHeight="1">
      <c r="A25" s="65"/>
      <c r="B25" s="193"/>
      <c r="C25" s="189"/>
      <c r="D25" s="189"/>
      <c r="E25" s="194"/>
      <c r="F25" s="65"/>
    </row>
    <row r="26" spans="1:6" ht="15" customHeight="1">
      <c r="A26" s="65"/>
      <c r="B26" s="193"/>
      <c r="C26" s="189"/>
      <c r="D26" s="189"/>
      <c r="E26" s="194"/>
      <c r="F26" s="65"/>
    </row>
    <row r="27" spans="1:6" ht="15" customHeight="1">
      <c r="A27" s="65"/>
      <c r="B27" s="193"/>
      <c r="C27" s="189"/>
      <c r="D27" s="189"/>
      <c r="E27" s="194"/>
      <c r="F27" s="65"/>
    </row>
    <row r="28" spans="1:6" ht="15" customHeight="1">
      <c r="A28" s="65"/>
      <c r="B28" s="193"/>
      <c r="C28" s="189"/>
      <c r="D28" s="189"/>
      <c r="E28" s="194"/>
      <c r="F28" s="65"/>
    </row>
    <row r="29" spans="1:6" ht="15" customHeight="1">
      <c r="A29" s="65"/>
      <c r="B29" s="193"/>
      <c r="C29" s="189"/>
      <c r="D29" s="189"/>
      <c r="E29" s="194"/>
      <c r="F29" s="65"/>
    </row>
    <row r="30" spans="1:6" ht="15" customHeight="1">
      <c r="A30" s="65"/>
      <c r="B30" s="193"/>
      <c r="C30" s="189"/>
      <c r="D30" s="189"/>
      <c r="E30" s="194"/>
      <c r="F30" s="65"/>
    </row>
    <row r="31" spans="1:6" ht="15" customHeight="1">
      <c r="A31" s="65"/>
      <c r="B31" s="193"/>
      <c r="C31" s="189"/>
      <c r="D31" s="189"/>
      <c r="E31" s="194"/>
      <c r="F31" s="65"/>
    </row>
    <row r="32" spans="1:6" ht="15" customHeight="1">
      <c r="A32" s="65"/>
      <c r="B32" s="193"/>
      <c r="C32" s="189"/>
      <c r="D32" s="189"/>
      <c r="E32" s="194"/>
      <c r="F32" s="65"/>
    </row>
    <row r="33" spans="1:6" ht="15" customHeight="1">
      <c r="A33" s="65"/>
      <c r="B33" s="193"/>
      <c r="C33" s="189"/>
      <c r="D33" s="189"/>
      <c r="E33" s="194"/>
      <c r="F33" s="65"/>
    </row>
    <row r="34" spans="1:6" ht="15" customHeight="1">
      <c r="A34" s="65"/>
      <c r="B34" s="193"/>
      <c r="C34" s="189"/>
      <c r="D34" s="189"/>
      <c r="E34" s="194"/>
      <c r="F34" s="65"/>
    </row>
    <row r="35" spans="1:6" ht="15" customHeight="1">
      <c r="A35" s="65"/>
      <c r="B35" s="193"/>
      <c r="C35" s="189"/>
      <c r="D35" s="189"/>
      <c r="E35" s="194"/>
      <c r="F35" s="65"/>
    </row>
    <row r="36" spans="1:6" ht="15" customHeight="1">
      <c r="A36" s="65"/>
      <c r="B36" s="193"/>
      <c r="C36" s="189"/>
      <c r="D36" s="189"/>
      <c r="E36" s="194"/>
      <c r="F36" s="65"/>
    </row>
    <row r="37" spans="1:6" ht="15" customHeight="1">
      <c r="A37" s="65"/>
      <c r="B37" s="193"/>
      <c r="C37" s="189"/>
      <c r="D37" s="189"/>
      <c r="E37" s="194"/>
      <c r="F37" s="65"/>
    </row>
    <row r="38" spans="1:6" ht="15" customHeight="1">
      <c r="A38" s="65"/>
      <c r="B38" s="193"/>
      <c r="C38" s="189"/>
      <c r="D38" s="189"/>
      <c r="E38" s="194"/>
      <c r="F38" s="65"/>
    </row>
    <row r="39" spans="1:6" ht="15" customHeight="1">
      <c r="A39" s="65"/>
      <c r="B39" s="193"/>
      <c r="C39" s="189"/>
      <c r="D39" s="189"/>
      <c r="E39" s="194"/>
      <c r="F39" s="65"/>
    </row>
    <row r="40" spans="1:6" ht="15" customHeight="1">
      <c r="A40" s="65"/>
      <c r="B40" s="193"/>
      <c r="C40" s="189"/>
      <c r="D40" s="189"/>
      <c r="E40" s="194"/>
      <c r="F40" s="65"/>
    </row>
    <row r="41" spans="1:6" ht="15" customHeight="1">
      <c r="A41" s="65"/>
      <c r="B41" s="193"/>
      <c r="C41" s="189"/>
      <c r="D41" s="189"/>
      <c r="E41" s="194"/>
      <c r="F41" s="65"/>
    </row>
    <row r="42" spans="1:6" ht="15" customHeight="1">
      <c r="A42" s="65"/>
      <c r="B42" s="193"/>
      <c r="C42" s="189"/>
      <c r="D42" s="189"/>
      <c r="E42" s="194"/>
      <c r="F42" s="65"/>
    </row>
    <row r="43" spans="1:6" ht="15" customHeight="1">
      <c r="A43" s="65"/>
      <c r="B43" s="193"/>
      <c r="C43" s="189"/>
      <c r="D43" s="189"/>
      <c r="E43" s="194"/>
      <c r="F43" s="65"/>
    </row>
    <row r="44" spans="1:6" ht="15" customHeight="1">
      <c r="A44" s="65"/>
      <c r="B44" s="193"/>
      <c r="C44" s="189"/>
      <c r="D44" s="189"/>
      <c r="E44" s="194"/>
      <c r="F44" s="65"/>
    </row>
    <row r="45" spans="1:6" ht="15" customHeight="1">
      <c r="A45" s="65"/>
      <c r="B45" s="193"/>
      <c r="C45" s="189"/>
      <c r="D45" s="189"/>
      <c r="E45" s="194"/>
      <c r="F45" s="65"/>
    </row>
    <row r="46" spans="1:6" ht="15" customHeight="1" thickBot="1">
      <c r="A46" s="65"/>
      <c r="B46" s="195"/>
      <c r="C46" s="196"/>
      <c r="D46" s="196"/>
      <c r="E46" s="197"/>
      <c r="F46" s="65"/>
    </row>
    <row r="47" spans="1:6">
      <c r="A47" s="65"/>
      <c r="B47" s="168"/>
      <c r="C47" s="65"/>
      <c r="D47" s="65"/>
      <c r="E47" s="65"/>
      <c r="F47" s="65"/>
    </row>
    <row r="48" spans="1:6" s="198" customFormat="1">
      <c r="B48" s="199"/>
    </row>
    <row r="49" spans="2:2" s="198" customFormat="1">
      <c r="B49" s="199"/>
    </row>
    <row r="50" spans="2:2" s="198" customFormat="1">
      <c r="B50" s="199"/>
    </row>
    <row r="51" spans="2:2" s="198" customFormat="1">
      <c r="B51" s="199"/>
    </row>
    <row r="52" spans="2:2" s="198" customFormat="1">
      <c r="B52" s="199"/>
    </row>
  </sheetData>
  <sheetProtection algorithmName="SHA-512" hashValue="5hSB2r6ekqkIPJG2TsU+4555+NumpXQeax5dvUlddOCkkPWSwCLkzzphq2yRJynwrj4oe5MR5DdtclkwlVhMdA==" saltValue="8/wprdhOAVg/YOy8c2G0xA==" spinCount="100000" sheet="1" formatCells="0" formatRows="0"/>
  <mergeCells count="4">
    <mergeCell ref="C14:C18"/>
    <mergeCell ref="E14:E18"/>
    <mergeCell ref="B3:E3"/>
    <mergeCell ref="B20:E20"/>
  </mergeCells>
  <phoneticPr fontId="2"/>
  <conditionalFormatting sqref="D8:D18">
    <cfRule type="expression" dxfId="5" priority="19">
      <formula>D8=""</formula>
    </cfRule>
  </conditionalFormatting>
  <conditionalFormatting sqref="E8">
    <cfRule type="expression" dxfId="4" priority="16">
      <formula>AND(E8&lt;=400,E8&gt;=80)</formula>
    </cfRule>
  </conditionalFormatting>
  <conditionalFormatting sqref="E9:E10">
    <cfRule type="expression" dxfId="3" priority="7">
      <formula>AND(E9&gt;=160,E9&lt;=800)</formula>
    </cfRule>
  </conditionalFormatting>
  <conditionalFormatting sqref="E11">
    <cfRule type="expression" dxfId="2" priority="2">
      <formula>AND(E11&gt;=100,E11&lt;=500)</formula>
    </cfRule>
  </conditionalFormatting>
  <conditionalFormatting sqref="E12">
    <cfRule type="expression" dxfId="1" priority="6">
      <formula>AND(E12&gt;=60,E12&lt;=300)</formula>
    </cfRule>
  </conditionalFormatting>
  <conditionalFormatting sqref="E13">
    <cfRule type="expression" dxfId="0" priority="5">
      <formula>AND(E13&gt;150)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39E8-79D0-450F-BBBF-F1FDFD84E063}">
  <sheetPr codeName="Sheet5">
    <pageSetUpPr fitToPage="1"/>
  </sheetPr>
  <dimension ref="A1:P94"/>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6.140625" style="63" customWidth="1"/>
    <col min="5" max="5" width="8.35546875" style="63" customWidth="1"/>
    <col min="6" max="6" width="2.78515625" style="63"/>
    <col min="7" max="7" width="2.78515625" style="63" customWidth="1"/>
    <col min="8" max="9" width="8.140625" style="63" customWidth="1"/>
    <col min="10" max="10" width="8.35546875" style="63" customWidth="1"/>
    <col min="11" max="12" width="2.78515625" style="63"/>
    <col min="13" max="13" width="16.140625" style="63" customWidth="1"/>
    <col min="14" max="14" width="8.35546875" style="63" customWidth="1"/>
    <col min="15" max="16384" width="2.78515625" style="63"/>
  </cols>
  <sheetData>
    <row r="1" spans="1:16">
      <c r="A1" s="61" t="s">
        <v>137</v>
      </c>
      <c r="B1" s="62"/>
      <c r="C1" s="61"/>
      <c r="D1" s="61"/>
      <c r="E1" s="61"/>
      <c r="F1" s="61"/>
      <c r="G1" s="61"/>
      <c r="H1" s="61"/>
      <c r="I1" s="61"/>
      <c r="J1" s="61"/>
      <c r="K1" s="61"/>
      <c r="L1" s="61"/>
      <c r="M1" s="61"/>
      <c r="N1" s="160" t="s">
        <v>138</v>
      </c>
      <c r="O1" s="61" t="s">
        <v>221</v>
      </c>
      <c r="P1" s="61"/>
    </row>
    <row r="2" spans="1:16" ht="16">
      <c r="A2" s="61"/>
      <c r="B2" s="64" t="s">
        <v>140</v>
      </c>
      <c r="C2" s="64"/>
      <c r="D2" s="64"/>
      <c r="E2" s="64"/>
      <c r="F2" s="61"/>
      <c r="G2" s="61"/>
      <c r="H2" s="61"/>
      <c r="I2" s="61"/>
      <c r="J2" s="61"/>
      <c r="K2" s="61"/>
      <c r="L2" s="61"/>
      <c r="M2" s="61"/>
      <c r="N2" s="61"/>
      <c r="O2" s="61"/>
      <c r="P2" s="61"/>
    </row>
    <row r="3" spans="1:16">
      <c r="A3" s="61"/>
      <c r="B3" s="61" t="s">
        <v>222</v>
      </c>
      <c r="C3" s="61"/>
      <c r="D3" s="61"/>
      <c r="E3" s="61"/>
      <c r="F3" s="61"/>
      <c r="G3" s="61"/>
      <c r="H3" s="61"/>
      <c r="I3" s="61"/>
      <c r="J3" s="61"/>
      <c r="K3" s="61"/>
      <c r="L3" s="61"/>
      <c r="M3" s="61"/>
      <c r="N3" s="61"/>
      <c r="O3" s="61"/>
      <c r="P3" s="61"/>
    </row>
    <row r="4" spans="1:16" ht="135" customHeight="1">
      <c r="A4" s="61"/>
      <c r="B4" s="328" t="s">
        <v>223</v>
      </c>
      <c r="C4" s="328"/>
      <c r="D4" s="328"/>
      <c r="E4" s="328"/>
      <c r="F4" s="328"/>
      <c r="G4" s="328"/>
      <c r="H4" s="328"/>
      <c r="I4" s="328"/>
      <c r="J4" s="328"/>
      <c r="K4" s="328"/>
      <c r="L4" s="328"/>
      <c r="M4" s="328"/>
      <c r="N4" s="328"/>
      <c r="O4" s="328"/>
      <c r="P4" s="61"/>
    </row>
    <row r="5" spans="1:16">
      <c r="A5" s="61"/>
      <c r="B5" s="61"/>
      <c r="C5" s="98"/>
      <c r="D5" s="98"/>
      <c r="E5" s="99"/>
      <c r="F5" s="61"/>
      <c r="G5" s="61"/>
      <c r="H5" s="61"/>
      <c r="I5" s="61"/>
      <c r="J5" s="61"/>
      <c r="K5" s="61"/>
      <c r="L5" s="61"/>
      <c r="M5" s="61"/>
      <c r="N5" s="61"/>
      <c r="O5" s="61"/>
      <c r="P5" s="61"/>
    </row>
    <row r="6" spans="1:16" ht="5.25" customHeight="1">
      <c r="A6" s="100"/>
      <c r="B6" s="100"/>
      <c r="C6" s="100"/>
      <c r="D6" s="100"/>
      <c r="E6" s="100"/>
      <c r="F6" s="100"/>
      <c r="G6" s="100"/>
      <c r="H6" s="100"/>
      <c r="I6" s="100"/>
      <c r="J6" s="100"/>
      <c r="K6" s="100"/>
      <c r="L6" s="100"/>
      <c r="M6" s="100"/>
      <c r="N6" s="100"/>
      <c r="O6" s="65"/>
      <c r="P6" s="65"/>
    </row>
    <row r="7" spans="1:16">
      <c r="A7" s="65"/>
      <c r="B7" s="101">
        <v>1</v>
      </c>
      <c r="C7" s="101" t="s">
        <v>224</v>
      </c>
      <c r="D7" s="102"/>
      <c r="E7" s="102"/>
      <c r="F7" s="102"/>
      <c r="G7" s="102"/>
      <c r="H7" s="102"/>
      <c r="I7" s="102"/>
      <c r="J7" s="102"/>
      <c r="K7" s="102"/>
      <c r="L7" s="102"/>
      <c r="M7" s="102"/>
      <c r="N7" s="102"/>
      <c r="O7" s="145"/>
      <c r="P7" s="65"/>
    </row>
    <row r="8" spans="1:16" ht="7.5" customHeight="1" thickBot="1">
      <c r="A8" s="65"/>
      <c r="B8" s="168"/>
      <c r="C8" s="65"/>
      <c r="D8" s="65"/>
      <c r="E8" s="65"/>
      <c r="F8" s="65"/>
      <c r="G8" s="65"/>
      <c r="H8" s="65"/>
      <c r="I8" s="65"/>
      <c r="J8" s="65"/>
      <c r="K8" s="65"/>
      <c r="L8" s="65"/>
      <c r="M8" s="65"/>
      <c r="N8" s="65"/>
      <c r="O8" s="65"/>
      <c r="P8" s="65"/>
    </row>
    <row r="9" spans="1:16">
      <c r="A9" s="65"/>
      <c r="B9" s="168"/>
      <c r="C9" s="332" t="s">
        <v>225</v>
      </c>
      <c r="D9" s="333"/>
      <c r="E9" s="333"/>
      <c r="F9" s="333"/>
      <c r="G9" s="333"/>
      <c r="H9" s="333"/>
      <c r="I9" s="333"/>
      <c r="J9" s="334"/>
      <c r="K9" s="65"/>
      <c r="L9" s="332" t="s">
        <v>226</v>
      </c>
      <c r="M9" s="333"/>
      <c r="N9" s="334"/>
      <c r="O9" s="65"/>
      <c r="P9" s="65"/>
    </row>
    <row r="10" spans="1:16">
      <c r="A10" s="65"/>
      <c r="B10" s="168"/>
      <c r="C10" s="140" t="s">
        <v>212</v>
      </c>
      <c r="D10" s="170" t="s">
        <v>227</v>
      </c>
      <c r="E10" s="335" t="s">
        <v>228</v>
      </c>
      <c r="F10" s="336"/>
      <c r="G10" s="171" t="s">
        <v>229</v>
      </c>
      <c r="H10" s="147"/>
      <c r="I10" s="170" t="s">
        <v>230</v>
      </c>
      <c r="J10" s="141" t="s">
        <v>231</v>
      </c>
      <c r="K10" s="65"/>
      <c r="L10" s="140" t="s">
        <v>212</v>
      </c>
      <c r="M10" s="170" t="s">
        <v>227</v>
      </c>
      <c r="N10" s="141" t="s">
        <v>231</v>
      </c>
      <c r="O10" s="65"/>
      <c r="P10" s="65"/>
    </row>
    <row r="11" spans="1:16">
      <c r="A11" s="65"/>
      <c r="B11" s="168"/>
      <c r="C11" s="142">
        <v>1</v>
      </c>
      <c r="D11" s="178"/>
      <c r="E11" s="330"/>
      <c r="F11" s="331"/>
      <c r="G11" s="337"/>
      <c r="H11" s="338"/>
      <c r="I11" s="179"/>
      <c r="J11" s="143">
        <f>G11*I11</f>
        <v>0</v>
      </c>
      <c r="K11" s="65"/>
      <c r="L11" s="142">
        <v>1</v>
      </c>
      <c r="M11" s="180"/>
      <c r="N11" s="181"/>
      <c r="O11" s="65"/>
      <c r="P11" s="65"/>
    </row>
    <row r="12" spans="1:16">
      <c r="A12" s="65"/>
      <c r="B12" s="168"/>
      <c r="C12" s="142">
        <v>2</v>
      </c>
      <c r="D12" s="178"/>
      <c r="E12" s="330"/>
      <c r="F12" s="331"/>
      <c r="G12" s="337"/>
      <c r="H12" s="338"/>
      <c r="I12" s="179"/>
      <c r="J12" s="143">
        <f t="shared" ref="J12:J30" si="0">G12*I12</f>
        <v>0</v>
      </c>
      <c r="K12" s="65"/>
      <c r="L12" s="142">
        <v>2</v>
      </c>
      <c r="M12" s="180"/>
      <c r="N12" s="181"/>
      <c r="O12" s="65"/>
      <c r="P12" s="65"/>
    </row>
    <row r="13" spans="1:16">
      <c r="A13" s="65"/>
      <c r="B13" s="168"/>
      <c r="C13" s="142">
        <v>3</v>
      </c>
      <c r="D13" s="178"/>
      <c r="E13" s="330"/>
      <c r="F13" s="331"/>
      <c r="G13" s="337"/>
      <c r="H13" s="338"/>
      <c r="I13" s="179"/>
      <c r="J13" s="143">
        <f t="shared" si="0"/>
        <v>0</v>
      </c>
      <c r="K13" s="65"/>
      <c r="L13" s="142">
        <v>3</v>
      </c>
      <c r="M13" s="180"/>
      <c r="N13" s="181"/>
      <c r="O13" s="65"/>
      <c r="P13" s="65"/>
    </row>
    <row r="14" spans="1:16">
      <c r="A14" s="65"/>
      <c r="B14" s="168"/>
      <c r="C14" s="142">
        <v>4</v>
      </c>
      <c r="D14" s="178"/>
      <c r="E14" s="330"/>
      <c r="F14" s="331"/>
      <c r="G14" s="337"/>
      <c r="H14" s="338"/>
      <c r="I14" s="179"/>
      <c r="J14" s="143">
        <f t="shared" si="0"/>
        <v>0</v>
      </c>
      <c r="K14" s="65"/>
      <c r="L14" s="142">
        <v>4</v>
      </c>
      <c r="M14" s="180"/>
      <c r="N14" s="181"/>
      <c r="O14" s="65"/>
      <c r="P14" s="65"/>
    </row>
    <row r="15" spans="1:16">
      <c r="A15" s="65"/>
      <c r="B15" s="168"/>
      <c r="C15" s="142">
        <v>5</v>
      </c>
      <c r="D15" s="178"/>
      <c r="E15" s="330"/>
      <c r="F15" s="331"/>
      <c r="G15" s="337"/>
      <c r="H15" s="338"/>
      <c r="I15" s="179"/>
      <c r="J15" s="143">
        <f t="shared" si="0"/>
        <v>0</v>
      </c>
      <c r="K15" s="65"/>
      <c r="L15" s="142">
        <v>5</v>
      </c>
      <c r="M15" s="180"/>
      <c r="N15" s="181"/>
      <c r="O15" s="65"/>
      <c r="P15" s="65"/>
    </row>
    <row r="16" spans="1:16">
      <c r="A16" s="65"/>
      <c r="B16" s="168"/>
      <c r="C16" s="142">
        <v>6</v>
      </c>
      <c r="D16" s="178"/>
      <c r="E16" s="330"/>
      <c r="F16" s="331"/>
      <c r="G16" s="337"/>
      <c r="H16" s="338"/>
      <c r="I16" s="179"/>
      <c r="J16" s="143">
        <f t="shared" si="0"/>
        <v>0</v>
      </c>
      <c r="K16" s="65"/>
      <c r="L16" s="142">
        <v>6</v>
      </c>
      <c r="M16" s="180"/>
      <c r="N16" s="181"/>
      <c r="O16" s="65"/>
      <c r="P16" s="65"/>
    </row>
    <row r="17" spans="1:16">
      <c r="A17" s="65"/>
      <c r="B17" s="168"/>
      <c r="C17" s="142">
        <v>7</v>
      </c>
      <c r="D17" s="178"/>
      <c r="E17" s="330"/>
      <c r="F17" s="331"/>
      <c r="G17" s="337"/>
      <c r="H17" s="338"/>
      <c r="I17" s="179"/>
      <c r="J17" s="143">
        <f t="shared" si="0"/>
        <v>0</v>
      </c>
      <c r="K17" s="65"/>
      <c r="L17" s="142">
        <v>7</v>
      </c>
      <c r="M17" s="180"/>
      <c r="N17" s="181"/>
      <c r="O17" s="65"/>
      <c r="P17" s="65"/>
    </row>
    <row r="18" spans="1:16">
      <c r="A18" s="65"/>
      <c r="B18" s="168"/>
      <c r="C18" s="142">
        <v>8</v>
      </c>
      <c r="D18" s="178"/>
      <c r="E18" s="330"/>
      <c r="F18" s="331"/>
      <c r="G18" s="337"/>
      <c r="H18" s="338"/>
      <c r="I18" s="179"/>
      <c r="J18" s="143">
        <f t="shared" si="0"/>
        <v>0</v>
      </c>
      <c r="K18" s="65"/>
      <c r="L18" s="142">
        <v>8</v>
      </c>
      <c r="M18" s="180"/>
      <c r="N18" s="181"/>
      <c r="O18" s="65"/>
      <c r="P18" s="65"/>
    </row>
    <row r="19" spans="1:16">
      <c r="A19" s="65"/>
      <c r="B19" s="168"/>
      <c r="C19" s="142">
        <v>9</v>
      </c>
      <c r="D19" s="178"/>
      <c r="E19" s="330"/>
      <c r="F19" s="331"/>
      <c r="G19" s="337"/>
      <c r="H19" s="338"/>
      <c r="I19" s="179"/>
      <c r="J19" s="143">
        <f t="shared" si="0"/>
        <v>0</v>
      </c>
      <c r="K19" s="65"/>
      <c r="L19" s="142">
        <v>9</v>
      </c>
      <c r="M19" s="180"/>
      <c r="N19" s="181"/>
      <c r="O19" s="65"/>
      <c r="P19" s="65"/>
    </row>
    <row r="20" spans="1:16">
      <c r="A20" s="65"/>
      <c r="B20" s="168"/>
      <c r="C20" s="142">
        <v>10</v>
      </c>
      <c r="D20" s="178"/>
      <c r="E20" s="330"/>
      <c r="F20" s="331"/>
      <c r="G20" s="337"/>
      <c r="H20" s="338"/>
      <c r="I20" s="179"/>
      <c r="J20" s="143">
        <f t="shared" si="0"/>
        <v>0</v>
      </c>
      <c r="K20" s="65"/>
      <c r="L20" s="142">
        <v>10</v>
      </c>
      <c r="M20" s="180"/>
      <c r="N20" s="181"/>
      <c r="O20" s="65"/>
      <c r="P20" s="65"/>
    </row>
    <row r="21" spans="1:16">
      <c r="A21" s="65"/>
      <c r="B21" s="168"/>
      <c r="C21" s="142">
        <v>11</v>
      </c>
      <c r="D21" s="178"/>
      <c r="E21" s="330"/>
      <c r="F21" s="331"/>
      <c r="G21" s="337"/>
      <c r="H21" s="338"/>
      <c r="I21" s="179"/>
      <c r="J21" s="143">
        <f t="shared" si="0"/>
        <v>0</v>
      </c>
      <c r="K21" s="65"/>
      <c r="L21" s="142">
        <v>11</v>
      </c>
      <c r="M21" s="180"/>
      <c r="N21" s="181"/>
      <c r="O21" s="65"/>
      <c r="P21" s="65"/>
    </row>
    <row r="22" spans="1:16">
      <c r="A22" s="65"/>
      <c r="B22" s="168"/>
      <c r="C22" s="142">
        <v>12</v>
      </c>
      <c r="D22" s="178"/>
      <c r="E22" s="330"/>
      <c r="F22" s="331"/>
      <c r="G22" s="337"/>
      <c r="H22" s="338"/>
      <c r="I22" s="179"/>
      <c r="J22" s="143">
        <f t="shared" si="0"/>
        <v>0</v>
      </c>
      <c r="K22" s="65"/>
      <c r="L22" s="142">
        <v>12</v>
      </c>
      <c r="M22" s="180"/>
      <c r="N22" s="181"/>
      <c r="O22" s="65"/>
      <c r="P22" s="65"/>
    </row>
    <row r="23" spans="1:16">
      <c r="A23" s="65"/>
      <c r="B23" s="168"/>
      <c r="C23" s="142">
        <v>13</v>
      </c>
      <c r="D23" s="178"/>
      <c r="E23" s="330"/>
      <c r="F23" s="331"/>
      <c r="G23" s="337"/>
      <c r="H23" s="338"/>
      <c r="I23" s="179"/>
      <c r="J23" s="143">
        <f t="shared" si="0"/>
        <v>0</v>
      </c>
      <c r="K23" s="65"/>
      <c r="L23" s="142">
        <v>13</v>
      </c>
      <c r="M23" s="180"/>
      <c r="N23" s="181"/>
      <c r="O23" s="65"/>
      <c r="P23" s="65"/>
    </row>
    <row r="24" spans="1:16">
      <c r="A24" s="65"/>
      <c r="B24" s="168"/>
      <c r="C24" s="142">
        <v>14</v>
      </c>
      <c r="D24" s="178"/>
      <c r="E24" s="330"/>
      <c r="F24" s="331"/>
      <c r="G24" s="337"/>
      <c r="H24" s="338"/>
      <c r="I24" s="179"/>
      <c r="J24" s="143">
        <f t="shared" si="0"/>
        <v>0</v>
      </c>
      <c r="K24" s="65"/>
      <c r="L24" s="142">
        <v>14</v>
      </c>
      <c r="M24" s="180"/>
      <c r="N24" s="181"/>
      <c r="O24" s="65"/>
      <c r="P24" s="65"/>
    </row>
    <row r="25" spans="1:16">
      <c r="A25" s="65"/>
      <c r="B25" s="168"/>
      <c r="C25" s="142">
        <v>15</v>
      </c>
      <c r="D25" s="178"/>
      <c r="E25" s="330"/>
      <c r="F25" s="331"/>
      <c r="G25" s="337"/>
      <c r="H25" s="338"/>
      <c r="I25" s="179"/>
      <c r="J25" s="143">
        <f t="shared" si="0"/>
        <v>0</v>
      </c>
      <c r="K25" s="65"/>
      <c r="L25" s="142">
        <v>15</v>
      </c>
      <c r="M25" s="180"/>
      <c r="N25" s="181"/>
      <c r="O25" s="65"/>
      <c r="P25" s="65"/>
    </row>
    <row r="26" spans="1:16">
      <c r="A26" s="65"/>
      <c r="B26" s="168"/>
      <c r="C26" s="142">
        <v>16</v>
      </c>
      <c r="D26" s="178"/>
      <c r="E26" s="330"/>
      <c r="F26" s="331"/>
      <c r="G26" s="337"/>
      <c r="H26" s="338"/>
      <c r="I26" s="179"/>
      <c r="J26" s="143">
        <f t="shared" si="0"/>
        <v>0</v>
      </c>
      <c r="K26" s="65"/>
      <c r="L26" s="142">
        <v>16</v>
      </c>
      <c r="M26" s="180"/>
      <c r="N26" s="181"/>
      <c r="O26" s="65"/>
      <c r="P26" s="65"/>
    </row>
    <row r="27" spans="1:16">
      <c r="A27" s="65"/>
      <c r="B27" s="168"/>
      <c r="C27" s="142">
        <v>17</v>
      </c>
      <c r="D27" s="178"/>
      <c r="E27" s="330"/>
      <c r="F27" s="331"/>
      <c r="G27" s="337"/>
      <c r="H27" s="338"/>
      <c r="I27" s="179"/>
      <c r="J27" s="143">
        <f t="shared" si="0"/>
        <v>0</v>
      </c>
      <c r="K27" s="65"/>
      <c r="L27" s="142">
        <v>17</v>
      </c>
      <c r="M27" s="180"/>
      <c r="N27" s="181"/>
      <c r="O27" s="65"/>
      <c r="P27" s="65"/>
    </row>
    <row r="28" spans="1:16">
      <c r="A28" s="65"/>
      <c r="B28" s="168"/>
      <c r="C28" s="142">
        <v>18</v>
      </c>
      <c r="D28" s="178"/>
      <c r="E28" s="330"/>
      <c r="F28" s="331"/>
      <c r="G28" s="337"/>
      <c r="H28" s="338"/>
      <c r="I28" s="179"/>
      <c r="J28" s="143">
        <f t="shared" si="0"/>
        <v>0</v>
      </c>
      <c r="K28" s="65"/>
      <c r="L28" s="142">
        <v>18</v>
      </c>
      <c r="M28" s="180"/>
      <c r="N28" s="181"/>
      <c r="O28" s="65"/>
      <c r="P28" s="65"/>
    </row>
    <row r="29" spans="1:16">
      <c r="A29" s="65"/>
      <c r="B29" s="168"/>
      <c r="C29" s="142">
        <v>19</v>
      </c>
      <c r="D29" s="178"/>
      <c r="E29" s="330"/>
      <c r="F29" s="331"/>
      <c r="G29" s="337"/>
      <c r="H29" s="338"/>
      <c r="I29" s="179"/>
      <c r="J29" s="143">
        <f t="shared" si="0"/>
        <v>0</v>
      </c>
      <c r="K29" s="65"/>
      <c r="L29" s="142">
        <v>19</v>
      </c>
      <c r="M29" s="180"/>
      <c r="N29" s="181"/>
      <c r="O29" s="65"/>
      <c r="P29" s="65"/>
    </row>
    <row r="30" spans="1:16">
      <c r="A30" s="65"/>
      <c r="B30" s="168"/>
      <c r="C30" s="142">
        <v>20</v>
      </c>
      <c r="D30" s="178"/>
      <c r="E30" s="330"/>
      <c r="F30" s="331"/>
      <c r="G30" s="337"/>
      <c r="H30" s="338"/>
      <c r="I30" s="179"/>
      <c r="J30" s="143">
        <f t="shared" si="0"/>
        <v>0</v>
      </c>
      <c r="K30" s="65"/>
      <c r="L30" s="142">
        <v>20</v>
      </c>
      <c r="M30" s="180"/>
      <c r="N30" s="181"/>
      <c r="O30" s="65"/>
      <c r="P30" s="65"/>
    </row>
    <row r="31" spans="1:16" ht="14" thickBot="1">
      <c r="A31" s="65"/>
      <c r="B31" s="103"/>
      <c r="C31" s="339" t="s">
        <v>208</v>
      </c>
      <c r="D31" s="340"/>
      <c r="E31" s="340"/>
      <c r="F31" s="340"/>
      <c r="G31" s="340"/>
      <c r="H31" s="340"/>
      <c r="I31" s="340"/>
      <c r="J31" s="144">
        <f>SUM(J11:J30)</f>
        <v>0</v>
      </c>
      <c r="K31" s="65"/>
      <c r="L31" s="339" t="s">
        <v>208</v>
      </c>
      <c r="M31" s="340"/>
      <c r="N31" s="144">
        <f>SUM(N11:N30)</f>
        <v>0</v>
      </c>
      <c r="O31" s="65"/>
      <c r="P31" s="65"/>
    </row>
    <row r="32" spans="1:16" ht="14" thickBot="1">
      <c r="A32" s="65"/>
      <c r="B32" s="168"/>
      <c r="C32" s="65"/>
      <c r="D32" s="65"/>
      <c r="E32" s="65"/>
      <c r="F32" s="65"/>
      <c r="G32" s="65"/>
      <c r="H32" s="65"/>
      <c r="I32" s="65"/>
      <c r="J32" s="65"/>
      <c r="K32" s="65"/>
      <c r="L32" s="65"/>
      <c r="M32" s="65"/>
      <c r="N32" s="65"/>
      <c r="O32" s="65"/>
      <c r="P32" s="65"/>
    </row>
    <row r="33" spans="1:16">
      <c r="A33" s="65"/>
      <c r="B33" s="65"/>
      <c r="C33" s="332" t="s">
        <v>232</v>
      </c>
      <c r="D33" s="333"/>
      <c r="E33" s="333"/>
      <c r="F33" s="333"/>
      <c r="G33" s="333"/>
      <c r="H33" s="333"/>
      <c r="I33" s="333"/>
      <c r="J33" s="333"/>
      <c r="K33" s="333"/>
      <c r="L33" s="333"/>
      <c r="M33" s="333"/>
      <c r="N33" s="334"/>
      <c r="O33" s="65"/>
      <c r="P33" s="65"/>
    </row>
    <row r="34" spans="1:16" ht="64" customHeight="1" thickBot="1">
      <c r="A34" s="65"/>
      <c r="B34" s="65"/>
      <c r="C34" s="341"/>
      <c r="D34" s="342"/>
      <c r="E34" s="342"/>
      <c r="F34" s="342"/>
      <c r="G34" s="342"/>
      <c r="H34" s="342"/>
      <c r="I34" s="342"/>
      <c r="J34" s="342"/>
      <c r="K34" s="342"/>
      <c r="L34" s="342"/>
      <c r="M34" s="342"/>
      <c r="N34" s="343"/>
      <c r="O34" s="65"/>
      <c r="P34" s="65"/>
    </row>
    <row r="35" spans="1:16">
      <c r="A35" s="65"/>
      <c r="B35" s="65"/>
      <c r="C35" s="65"/>
      <c r="D35" s="65"/>
      <c r="E35" s="65"/>
      <c r="F35" s="65"/>
      <c r="G35" s="65"/>
      <c r="H35" s="65"/>
      <c r="I35" s="65"/>
      <c r="J35" s="65"/>
      <c r="K35" s="65"/>
      <c r="L35" s="65"/>
      <c r="M35" s="65"/>
      <c r="N35" s="65"/>
      <c r="O35" s="65"/>
      <c r="P35" s="65"/>
    </row>
    <row r="36" spans="1:16">
      <c r="A36" s="65"/>
      <c r="B36" s="101">
        <v>2</v>
      </c>
      <c r="C36" s="101" t="s">
        <v>233</v>
      </c>
      <c r="D36" s="102"/>
      <c r="E36" s="102"/>
      <c r="F36" s="102"/>
      <c r="G36" s="102"/>
      <c r="H36" s="102"/>
      <c r="I36" s="102"/>
      <c r="J36" s="102"/>
      <c r="K36" s="102"/>
      <c r="L36" s="102"/>
      <c r="M36" s="102"/>
      <c r="N36" s="102"/>
      <c r="O36" s="65"/>
      <c r="P36" s="65"/>
    </row>
    <row r="37" spans="1:16" ht="7.5" customHeight="1" thickBot="1">
      <c r="A37" s="65"/>
      <c r="B37" s="168"/>
      <c r="C37" s="65"/>
      <c r="D37" s="65"/>
      <c r="E37" s="65"/>
      <c r="F37" s="65"/>
      <c r="G37" s="65"/>
      <c r="H37" s="65"/>
      <c r="I37" s="65"/>
      <c r="J37" s="65"/>
      <c r="K37" s="65"/>
      <c r="L37" s="65"/>
      <c r="M37" s="65"/>
      <c r="N37" s="65"/>
      <c r="O37" s="65"/>
      <c r="P37" s="65"/>
    </row>
    <row r="38" spans="1:16">
      <c r="A38" s="65"/>
      <c r="B38" s="168"/>
      <c r="C38" s="332" t="s">
        <v>234</v>
      </c>
      <c r="D38" s="333"/>
      <c r="E38" s="334"/>
      <c r="F38" s="65"/>
      <c r="G38" s="332" t="s">
        <v>235</v>
      </c>
      <c r="H38" s="333"/>
      <c r="I38" s="333"/>
      <c r="J38" s="334"/>
      <c r="K38" s="65"/>
      <c r="L38" s="332" t="s">
        <v>236</v>
      </c>
      <c r="M38" s="333"/>
      <c r="N38" s="334"/>
      <c r="O38" s="65"/>
      <c r="P38" s="65"/>
    </row>
    <row r="39" spans="1:16">
      <c r="A39" s="65"/>
      <c r="B39" s="168"/>
      <c r="C39" s="140" t="s">
        <v>212</v>
      </c>
      <c r="D39" s="170" t="s">
        <v>227</v>
      </c>
      <c r="E39" s="141" t="s">
        <v>231</v>
      </c>
      <c r="F39" s="65"/>
      <c r="G39" s="140" t="s">
        <v>212</v>
      </c>
      <c r="H39" s="335" t="s">
        <v>227</v>
      </c>
      <c r="I39" s="336"/>
      <c r="J39" s="141" t="s">
        <v>231</v>
      </c>
      <c r="K39" s="65"/>
      <c r="L39" s="140" t="s">
        <v>212</v>
      </c>
      <c r="M39" s="170" t="s">
        <v>227</v>
      </c>
      <c r="N39" s="141" t="s">
        <v>231</v>
      </c>
      <c r="O39" s="65"/>
      <c r="P39" s="65"/>
    </row>
    <row r="40" spans="1:16">
      <c r="A40" s="65"/>
      <c r="B40" s="168"/>
      <c r="C40" s="142">
        <v>1</v>
      </c>
      <c r="D40" s="180"/>
      <c r="E40" s="182"/>
      <c r="F40" s="65"/>
      <c r="G40" s="142">
        <v>1</v>
      </c>
      <c r="H40" s="330"/>
      <c r="I40" s="331"/>
      <c r="J40" s="182"/>
      <c r="K40" s="65"/>
      <c r="L40" s="142">
        <v>1</v>
      </c>
      <c r="M40" s="180"/>
      <c r="N40" s="182"/>
      <c r="O40" s="65"/>
      <c r="P40" s="65"/>
    </row>
    <row r="41" spans="1:16">
      <c r="A41" s="65"/>
      <c r="B41" s="168"/>
      <c r="C41" s="142">
        <v>2</v>
      </c>
      <c r="D41" s="180"/>
      <c r="E41" s="182"/>
      <c r="F41" s="65"/>
      <c r="G41" s="142">
        <v>2</v>
      </c>
      <c r="H41" s="330"/>
      <c r="I41" s="331"/>
      <c r="J41" s="182"/>
      <c r="K41" s="65"/>
      <c r="L41" s="142">
        <v>2</v>
      </c>
      <c r="M41" s="180"/>
      <c r="N41" s="182"/>
      <c r="O41" s="65"/>
      <c r="P41" s="65"/>
    </row>
    <row r="42" spans="1:16">
      <c r="A42" s="65"/>
      <c r="B42" s="168"/>
      <c r="C42" s="142">
        <v>3</v>
      </c>
      <c r="D42" s="180"/>
      <c r="E42" s="182"/>
      <c r="F42" s="65"/>
      <c r="G42" s="142">
        <v>3</v>
      </c>
      <c r="H42" s="330"/>
      <c r="I42" s="331"/>
      <c r="J42" s="182"/>
      <c r="K42" s="65"/>
      <c r="L42" s="142">
        <v>3</v>
      </c>
      <c r="M42" s="180"/>
      <c r="N42" s="182"/>
      <c r="O42" s="65"/>
      <c r="P42" s="65"/>
    </row>
    <row r="43" spans="1:16">
      <c r="A43" s="65"/>
      <c r="B43" s="168"/>
      <c r="C43" s="142">
        <v>4</v>
      </c>
      <c r="D43" s="180"/>
      <c r="E43" s="182"/>
      <c r="F43" s="65"/>
      <c r="G43" s="142">
        <v>4</v>
      </c>
      <c r="H43" s="330"/>
      <c r="I43" s="331"/>
      <c r="J43" s="182"/>
      <c r="K43" s="65"/>
      <c r="L43" s="142">
        <v>4</v>
      </c>
      <c r="M43" s="180"/>
      <c r="N43" s="182"/>
      <c r="O43" s="65"/>
      <c r="P43" s="65"/>
    </row>
    <row r="44" spans="1:16">
      <c r="A44" s="65"/>
      <c r="B44" s="168"/>
      <c r="C44" s="142">
        <v>5</v>
      </c>
      <c r="D44" s="180"/>
      <c r="E44" s="182"/>
      <c r="F44" s="65"/>
      <c r="G44" s="142">
        <v>5</v>
      </c>
      <c r="H44" s="330"/>
      <c r="I44" s="331"/>
      <c r="J44" s="182"/>
      <c r="K44" s="65"/>
      <c r="L44" s="142">
        <v>5</v>
      </c>
      <c r="M44" s="180"/>
      <c r="N44" s="182"/>
      <c r="O44" s="65"/>
      <c r="P44" s="65"/>
    </row>
    <row r="45" spans="1:16">
      <c r="A45" s="65"/>
      <c r="B45" s="168"/>
      <c r="C45" s="142">
        <v>6</v>
      </c>
      <c r="D45" s="180"/>
      <c r="E45" s="182"/>
      <c r="F45" s="65"/>
      <c r="G45" s="142">
        <v>6</v>
      </c>
      <c r="H45" s="330"/>
      <c r="I45" s="331"/>
      <c r="J45" s="182"/>
      <c r="K45" s="65"/>
      <c r="L45" s="142">
        <v>6</v>
      </c>
      <c r="M45" s="180"/>
      <c r="N45" s="182"/>
      <c r="O45" s="65"/>
      <c r="P45" s="65"/>
    </row>
    <row r="46" spans="1:16">
      <c r="A46" s="65"/>
      <c r="B46" s="168"/>
      <c r="C46" s="142">
        <v>7</v>
      </c>
      <c r="D46" s="180"/>
      <c r="E46" s="182"/>
      <c r="F46" s="65"/>
      <c r="G46" s="142">
        <v>7</v>
      </c>
      <c r="H46" s="330"/>
      <c r="I46" s="331"/>
      <c r="J46" s="182"/>
      <c r="K46" s="65"/>
      <c r="L46" s="142">
        <v>7</v>
      </c>
      <c r="M46" s="180"/>
      <c r="N46" s="182"/>
      <c r="O46" s="65"/>
      <c r="P46" s="65"/>
    </row>
    <row r="47" spans="1:16">
      <c r="A47" s="65"/>
      <c r="B47" s="168"/>
      <c r="C47" s="142">
        <v>8</v>
      </c>
      <c r="D47" s="180"/>
      <c r="E47" s="182"/>
      <c r="F47" s="65"/>
      <c r="G47" s="142">
        <v>8</v>
      </c>
      <c r="H47" s="330"/>
      <c r="I47" s="331"/>
      <c r="J47" s="182"/>
      <c r="K47" s="65"/>
      <c r="L47" s="142">
        <v>8</v>
      </c>
      <c r="M47" s="180"/>
      <c r="N47" s="182"/>
      <c r="O47" s="65"/>
      <c r="P47" s="65"/>
    </row>
    <row r="48" spans="1:16">
      <c r="A48" s="65"/>
      <c r="B48" s="168"/>
      <c r="C48" s="142">
        <v>9</v>
      </c>
      <c r="D48" s="180"/>
      <c r="E48" s="182"/>
      <c r="F48" s="65"/>
      <c r="G48" s="142">
        <v>9</v>
      </c>
      <c r="H48" s="330"/>
      <c r="I48" s="331"/>
      <c r="J48" s="182"/>
      <c r="K48" s="65"/>
      <c r="L48" s="142">
        <v>9</v>
      </c>
      <c r="M48" s="180"/>
      <c r="N48" s="182"/>
      <c r="O48" s="65"/>
      <c r="P48" s="65"/>
    </row>
    <row r="49" spans="1:16">
      <c r="A49" s="65"/>
      <c r="B49" s="168"/>
      <c r="C49" s="142">
        <v>10</v>
      </c>
      <c r="D49" s="180"/>
      <c r="E49" s="182"/>
      <c r="F49" s="65"/>
      <c r="G49" s="142">
        <v>10</v>
      </c>
      <c r="H49" s="330"/>
      <c r="I49" s="331"/>
      <c r="J49" s="182"/>
      <c r="K49" s="65"/>
      <c r="L49" s="142">
        <v>10</v>
      </c>
      <c r="M49" s="180"/>
      <c r="N49" s="182"/>
      <c r="O49" s="65"/>
      <c r="P49" s="65"/>
    </row>
    <row r="50" spans="1:16">
      <c r="A50" s="65"/>
      <c r="B50" s="168"/>
      <c r="C50" s="142">
        <v>11</v>
      </c>
      <c r="D50" s="180"/>
      <c r="E50" s="182"/>
      <c r="F50" s="65"/>
      <c r="G50" s="142">
        <v>11</v>
      </c>
      <c r="H50" s="330"/>
      <c r="I50" s="331"/>
      <c r="J50" s="182"/>
      <c r="K50" s="65"/>
      <c r="L50" s="142">
        <v>11</v>
      </c>
      <c r="M50" s="180"/>
      <c r="N50" s="182"/>
      <c r="O50" s="65"/>
      <c r="P50" s="65"/>
    </row>
    <row r="51" spans="1:16">
      <c r="A51" s="65"/>
      <c r="B51" s="168"/>
      <c r="C51" s="142">
        <v>12</v>
      </c>
      <c r="D51" s="180"/>
      <c r="E51" s="182"/>
      <c r="F51" s="65"/>
      <c r="G51" s="142">
        <v>12</v>
      </c>
      <c r="H51" s="330"/>
      <c r="I51" s="331"/>
      <c r="J51" s="182"/>
      <c r="K51" s="65"/>
      <c r="L51" s="142">
        <v>12</v>
      </c>
      <c r="M51" s="180"/>
      <c r="N51" s="182"/>
      <c r="O51" s="65"/>
      <c r="P51" s="65"/>
    </row>
    <row r="52" spans="1:16">
      <c r="A52" s="65"/>
      <c r="B52" s="168"/>
      <c r="C52" s="142">
        <v>13</v>
      </c>
      <c r="D52" s="180"/>
      <c r="E52" s="182"/>
      <c r="F52" s="65"/>
      <c r="G52" s="142">
        <v>13</v>
      </c>
      <c r="H52" s="330"/>
      <c r="I52" s="331"/>
      <c r="J52" s="182"/>
      <c r="K52" s="65"/>
      <c r="L52" s="142">
        <v>13</v>
      </c>
      <c r="M52" s="180"/>
      <c r="N52" s="182"/>
      <c r="O52" s="65"/>
      <c r="P52" s="65"/>
    </row>
    <row r="53" spans="1:16">
      <c r="A53" s="65"/>
      <c r="B53" s="168"/>
      <c r="C53" s="142">
        <v>14</v>
      </c>
      <c r="D53" s="180"/>
      <c r="E53" s="182"/>
      <c r="F53" s="65"/>
      <c r="G53" s="142">
        <v>14</v>
      </c>
      <c r="H53" s="330"/>
      <c r="I53" s="331"/>
      <c r="J53" s="182"/>
      <c r="K53" s="65"/>
      <c r="L53" s="142">
        <v>14</v>
      </c>
      <c r="M53" s="180"/>
      <c r="N53" s="182"/>
      <c r="O53" s="65"/>
      <c r="P53" s="65"/>
    </row>
    <row r="54" spans="1:16">
      <c r="A54" s="65"/>
      <c r="B54" s="168"/>
      <c r="C54" s="142">
        <v>15</v>
      </c>
      <c r="D54" s="180"/>
      <c r="E54" s="182"/>
      <c r="F54" s="65"/>
      <c r="G54" s="142">
        <v>15</v>
      </c>
      <c r="H54" s="330"/>
      <c r="I54" s="331"/>
      <c r="J54" s="182"/>
      <c r="K54" s="65"/>
      <c r="L54" s="142">
        <v>15</v>
      </c>
      <c r="M54" s="180"/>
      <c r="N54" s="182"/>
      <c r="O54" s="65"/>
      <c r="P54" s="65"/>
    </row>
    <row r="55" spans="1:16">
      <c r="A55" s="65"/>
      <c r="B55" s="168"/>
      <c r="C55" s="142">
        <v>16</v>
      </c>
      <c r="D55" s="180"/>
      <c r="E55" s="182"/>
      <c r="F55" s="65"/>
      <c r="G55" s="142">
        <v>16</v>
      </c>
      <c r="H55" s="330"/>
      <c r="I55" s="331"/>
      <c r="J55" s="182"/>
      <c r="K55" s="65"/>
      <c r="L55" s="142">
        <v>16</v>
      </c>
      <c r="M55" s="180"/>
      <c r="N55" s="182"/>
      <c r="O55" s="65"/>
      <c r="P55" s="65"/>
    </row>
    <row r="56" spans="1:16">
      <c r="A56" s="65"/>
      <c r="B56" s="168"/>
      <c r="C56" s="142">
        <v>17</v>
      </c>
      <c r="D56" s="180"/>
      <c r="E56" s="182"/>
      <c r="F56" s="65"/>
      <c r="G56" s="142">
        <v>17</v>
      </c>
      <c r="H56" s="330"/>
      <c r="I56" s="331"/>
      <c r="J56" s="182"/>
      <c r="K56" s="65"/>
      <c r="L56" s="142">
        <v>17</v>
      </c>
      <c r="M56" s="180"/>
      <c r="N56" s="182"/>
      <c r="O56" s="65"/>
      <c r="P56" s="65"/>
    </row>
    <row r="57" spans="1:16">
      <c r="A57" s="65"/>
      <c r="B57" s="168"/>
      <c r="C57" s="142">
        <v>18</v>
      </c>
      <c r="D57" s="180"/>
      <c r="E57" s="182"/>
      <c r="F57" s="65"/>
      <c r="G57" s="142">
        <v>18</v>
      </c>
      <c r="H57" s="330"/>
      <c r="I57" s="331"/>
      <c r="J57" s="182"/>
      <c r="K57" s="65"/>
      <c r="L57" s="142">
        <v>18</v>
      </c>
      <c r="M57" s="180"/>
      <c r="N57" s="182"/>
      <c r="O57" s="65"/>
      <c r="P57" s="65"/>
    </row>
    <row r="58" spans="1:16">
      <c r="A58" s="65"/>
      <c r="B58" s="168"/>
      <c r="C58" s="142">
        <v>19</v>
      </c>
      <c r="D58" s="180"/>
      <c r="E58" s="182"/>
      <c r="F58" s="65"/>
      <c r="G58" s="142">
        <v>19</v>
      </c>
      <c r="H58" s="330"/>
      <c r="I58" s="331"/>
      <c r="J58" s="182"/>
      <c r="K58" s="65"/>
      <c r="L58" s="142">
        <v>19</v>
      </c>
      <c r="M58" s="180"/>
      <c r="N58" s="182"/>
      <c r="O58" s="65"/>
      <c r="P58" s="65"/>
    </row>
    <row r="59" spans="1:16">
      <c r="A59" s="65"/>
      <c r="B59" s="168"/>
      <c r="C59" s="142">
        <v>20</v>
      </c>
      <c r="D59" s="180"/>
      <c r="E59" s="182"/>
      <c r="F59" s="65"/>
      <c r="G59" s="142">
        <v>20</v>
      </c>
      <c r="H59" s="330"/>
      <c r="I59" s="331"/>
      <c r="J59" s="182"/>
      <c r="K59" s="65"/>
      <c r="L59" s="142">
        <v>20</v>
      </c>
      <c r="M59" s="180"/>
      <c r="N59" s="182"/>
      <c r="O59" s="65"/>
      <c r="P59" s="65"/>
    </row>
    <row r="60" spans="1:16" ht="14" thickBot="1">
      <c r="A60" s="65"/>
      <c r="B60" s="103"/>
      <c r="C60" s="339" t="s">
        <v>208</v>
      </c>
      <c r="D60" s="340"/>
      <c r="E60" s="144">
        <f>SUM(E40:E59)</f>
        <v>0</v>
      </c>
      <c r="F60" s="65"/>
      <c r="G60" s="339" t="s">
        <v>208</v>
      </c>
      <c r="H60" s="340"/>
      <c r="I60" s="340"/>
      <c r="J60" s="144">
        <f>SUM(J40:J59)</f>
        <v>0</v>
      </c>
      <c r="K60" s="65"/>
      <c r="L60" s="339" t="s">
        <v>208</v>
      </c>
      <c r="M60" s="340"/>
      <c r="N60" s="144">
        <f>SUM(N40:N59)</f>
        <v>0</v>
      </c>
      <c r="O60" s="65"/>
      <c r="P60" s="65"/>
    </row>
    <row r="61" spans="1:16" ht="14" thickBot="1">
      <c r="A61" s="65"/>
      <c r="B61" s="168"/>
      <c r="C61" s="65"/>
      <c r="D61" s="65"/>
      <c r="E61" s="65"/>
      <c r="F61" s="65"/>
      <c r="G61" s="65"/>
      <c r="H61" s="65"/>
      <c r="I61" s="65"/>
      <c r="J61" s="65"/>
      <c r="K61" s="65"/>
      <c r="L61" s="65"/>
      <c r="M61" s="65"/>
      <c r="N61" s="65"/>
      <c r="O61" s="65"/>
      <c r="P61" s="65"/>
    </row>
    <row r="62" spans="1:16">
      <c r="A62" s="65"/>
      <c r="B62" s="65"/>
      <c r="C62" s="332" t="s">
        <v>237</v>
      </c>
      <c r="D62" s="333"/>
      <c r="E62" s="333"/>
      <c r="F62" s="333"/>
      <c r="G62" s="333"/>
      <c r="H62" s="333"/>
      <c r="I62" s="333"/>
      <c r="J62" s="333"/>
      <c r="K62" s="333"/>
      <c r="L62" s="333"/>
      <c r="M62" s="333"/>
      <c r="N62" s="334"/>
      <c r="O62" s="65"/>
      <c r="P62" s="65"/>
    </row>
    <row r="63" spans="1:16" ht="65.5" customHeight="1" thickBot="1">
      <c r="A63" s="65"/>
      <c r="B63" s="65"/>
      <c r="C63" s="341"/>
      <c r="D63" s="342"/>
      <c r="E63" s="342"/>
      <c r="F63" s="342"/>
      <c r="G63" s="342"/>
      <c r="H63" s="342"/>
      <c r="I63" s="342"/>
      <c r="J63" s="342"/>
      <c r="K63" s="342"/>
      <c r="L63" s="342"/>
      <c r="M63" s="342"/>
      <c r="N63" s="343"/>
      <c r="O63" s="65"/>
      <c r="P63" s="65"/>
    </row>
    <row r="64" spans="1:16">
      <c r="A64" s="65"/>
      <c r="B64" s="65"/>
      <c r="C64" s="65"/>
      <c r="D64" s="65"/>
      <c r="E64" s="65"/>
      <c r="F64" s="65"/>
      <c r="G64" s="65"/>
      <c r="H64" s="65"/>
      <c r="I64" s="65"/>
      <c r="J64" s="65"/>
      <c r="K64" s="65"/>
      <c r="L64" s="65"/>
      <c r="M64" s="65"/>
      <c r="N64" s="65"/>
      <c r="O64" s="65"/>
      <c r="P64" s="65"/>
    </row>
    <row r="65" spans="1:16">
      <c r="A65" s="65"/>
      <c r="B65" s="101">
        <v>3</v>
      </c>
      <c r="C65" s="101" t="s">
        <v>238</v>
      </c>
      <c r="D65" s="102"/>
      <c r="E65" s="102"/>
      <c r="F65" s="102"/>
      <c r="G65" s="102"/>
      <c r="H65" s="102"/>
      <c r="I65" s="102"/>
      <c r="J65" s="102"/>
      <c r="K65" s="102"/>
      <c r="L65" s="102"/>
      <c r="M65" s="102"/>
      <c r="N65" s="102"/>
      <c r="O65" s="65"/>
      <c r="P65" s="65"/>
    </row>
    <row r="66" spans="1:16" ht="7.5" customHeight="1" thickBot="1">
      <c r="A66" s="65"/>
      <c r="B66" s="168"/>
      <c r="C66" s="65"/>
      <c r="D66" s="65"/>
      <c r="E66" s="65"/>
      <c r="F66" s="65"/>
      <c r="G66" s="65"/>
      <c r="H66" s="65"/>
      <c r="I66" s="65"/>
      <c r="J66" s="65"/>
      <c r="K66" s="65"/>
      <c r="L66" s="65"/>
      <c r="M66" s="65"/>
      <c r="N66" s="65"/>
      <c r="O66" s="65"/>
      <c r="P66" s="65"/>
    </row>
    <row r="67" spans="1:16" ht="15" customHeight="1">
      <c r="A67" s="65"/>
      <c r="B67" s="168"/>
      <c r="C67" s="332" t="s">
        <v>239</v>
      </c>
      <c r="D67" s="333"/>
      <c r="E67" s="334"/>
      <c r="F67" s="65"/>
      <c r="G67" s="65" t="s">
        <v>240</v>
      </c>
      <c r="H67" s="65"/>
      <c r="I67" s="65"/>
      <c r="J67" s="65"/>
      <c r="K67" s="65"/>
      <c r="L67" s="65"/>
      <c r="M67" s="65"/>
      <c r="N67" s="65"/>
      <c r="O67" s="65"/>
      <c r="P67" s="65"/>
    </row>
    <row r="68" spans="1:16">
      <c r="A68" s="65"/>
      <c r="B68" s="168"/>
      <c r="C68" s="140" t="s">
        <v>212</v>
      </c>
      <c r="D68" s="170" t="s">
        <v>227</v>
      </c>
      <c r="E68" s="141" t="s">
        <v>231</v>
      </c>
      <c r="F68" s="65"/>
      <c r="G68" s="65" t="s">
        <v>241</v>
      </c>
      <c r="H68" s="65" t="s">
        <v>242</v>
      </c>
      <c r="I68" s="65"/>
      <c r="J68" s="65"/>
      <c r="K68" s="65"/>
      <c r="L68" s="65"/>
      <c r="M68" s="65"/>
      <c r="N68" s="65"/>
      <c r="O68" s="65"/>
      <c r="P68" s="65"/>
    </row>
    <row r="69" spans="1:16">
      <c r="A69" s="65"/>
      <c r="B69" s="168"/>
      <c r="C69" s="142">
        <v>1</v>
      </c>
      <c r="D69" s="178"/>
      <c r="E69" s="183"/>
      <c r="F69" s="65"/>
      <c r="G69" s="65"/>
      <c r="H69" s="65" t="s">
        <v>243</v>
      </c>
      <c r="I69" s="65"/>
      <c r="J69" s="65"/>
      <c r="K69" s="65"/>
      <c r="L69" s="65"/>
      <c r="M69" s="65"/>
      <c r="N69" s="65"/>
      <c r="O69" s="65"/>
      <c r="P69" s="65"/>
    </row>
    <row r="70" spans="1:16">
      <c r="A70" s="65"/>
      <c r="B70" s="168"/>
      <c r="C70" s="142">
        <v>2</v>
      </c>
      <c r="D70" s="178"/>
      <c r="E70" s="183"/>
      <c r="F70" s="65"/>
      <c r="G70" s="65" t="s">
        <v>241</v>
      </c>
      <c r="H70" s="65" t="s">
        <v>244</v>
      </c>
      <c r="I70" s="65"/>
      <c r="J70" s="65"/>
      <c r="K70" s="65"/>
      <c r="L70" s="65"/>
      <c r="M70" s="65"/>
      <c r="N70" s="65"/>
      <c r="O70" s="65"/>
      <c r="P70" s="65"/>
    </row>
    <row r="71" spans="1:16">
      <c r="A71" s="65"/>
      <c r="B71" s="168"/>
      <c r="C71" s="142">
        <v>3</v>
      </c>
      <c r="D71" s="178"/>
      <c r="E71" s="183"/>
      <c r="F71" s="65"/>
      <c r="G71" s="65"/>
      <c r="H71" s="65" t="s">
        <v>243</v>
      </c>
      <c r="I71" s="65"/>
      <c r="J71" s="65"/>
      <c r="K71" s="65"/>
      <c r="L71" s="65"/>
      <c r="M71" s="65"/>
      <c r="N71" s="65"/>
      <c r="O71" s="65"/>
      <c r="P71" s="65"/>
    </row>
    <row r="72" spans="1:16">
      <c r="A72" s="65"/>
      <c r="B72" s="168"/>
      <c r="C72" s="142">
        <v>4</v>
      </c>
      <c r="D72" s="178"/>
      <c r="E72" s="183"/>
      <c r="F72" s="65"/>
      <c r="G72" s="65"/>
      <c r="H72" s="65"/>
      <c r="I72" s="65"/>
      <c r="J72" s="65"/>
      <c r="K72" s="65"/>
      <c r="L72" s="65"/>
      <c r="M72" s="65"/>
      <c r="N72" s="65"/>
      <c r="O72" s="65"/>
      <c r="P72" s="65"/>
    </row>
    <row r="73" spans="1:16">
      <c r="A73" s="65"/>
      <c r="B73" s="168"/>
      <c r="C73" s="142">
        <v>5</v>
      </c>
      <c r="D73" s="178"/>
      <c r="E73" s="183"/>
      <c r="F73" s="65"/>
      <c r="G73" s="65"/>
      <c r="H73" s="65"/>
      <c r="I73" s="65"/>
      <c r="J73" s="65"/>
      <c r="K73" s="65"/>
      <c r="L73" s="65"/>
      <c r="M73" s="65"/>
      <c r="N73" s="65"/>
      <c r="O73" s="65"/>
      <c r="P73" s="65"/>
    </row>
    <row r="74" spans="1:16">
      <c r="A74" s="65"/>
      <c r="B74" s="168"/>
      <c r="C74" s="142">
        <v>6</v>
      </c>
      <c r="D74" s="178"/>
      <c r="E74" s="183"/>
      <c r="F74" s="65"/>
      <c r="G74" s="65"/>
      <c r="H74" s="65"/>
      <c r="I74" s="65"/>
      <c r="J74" s="65"/>
      <c r="K74" s="65"/>
      <c r="L74" s="65"/>
      <c r="M74" s="65"/>
      <c r="N74" s="65"/>
      <c r="O74" s="65"/>
      <c r="P74" s="65"/>
    </row>
    <row r="75" spans="1:16">
      <c r="A75" s="65"/>
      <c r="B75" s="168"/>
      <c r="C75" s="142">
        <v>7</v>
      </c>
      <c r="D75" s="178"/>
      <c r="E75" s="183"/>
      <c r="F75" s="65"/>
      <c r="G75" s="65"/>
      <c r="H75" s="65"/>
      <c r="I75" s="65"/>
      <c r="J75" s="65"/>
      <c r="K75" s="65"/>
      <c r="L75" s="65"/>
      <c r="M75" s="65"/>
      <c r="N75" s="65"/>
      <c r="O75" s="65"/>
      <c r="P75" s="65"/>
    </row>
    <row r="76" spans="1:16">
      <c r="A76" s="65"/>
      <c r="B76" s="168"/>
      <c r="C76" s="142">
        <v>8</v>
      </c>
      <c r="D76" s="178"/>
      <c r="E76" s="183"/>
      <c r="F76" s="65"/>
      <c r="G76" s="65"/>
      <c r="H76" s="65"/>
      <c r="I76" s="65"/>
      <c r="J76" s="65"/>
      <c r="K76" s="65"/>
      <c r="L76" s="65"/>
      <c r="M76" s="65"/>
      <c r="N76" s="65"/>
      <c r="O76" s="65"/>
      <c r="P76" s="65"/>
    </row>
    <row r="77" spans="1:16">
      <c r="A77" s="65"/>
      <c r="B77" s="168"/>
      <c r="C77" s="142">
        <v>9</v>
      </c>
      <c r="D77" s="178"/>
      <c r="E77" s="183"/>
      <c r="F77" s="65"/>
      <c r="G77" s="65"/>
      <c r="H77" s="65"/>
      <c r="I77" s="65"/>
      <c r="J77" s="65"/>
      <c r="K77" s="65"/>
      <c r="L77" s="65"/>
      <c r="M77" s="65"/>
      <c r="N77" s="65"/>
      <c r="O77" s="65"/>
      <c r="P77" s="65"/>
    </row>
    <row r="78" spans="1:16">
      <c r="A78" s="65"/>
      <c r="B78" s="168"/>
      <c r="C78" s="142">
        <v>10</v>
      </c>
      <c r="D78" s="178"/>
      <c r="E78" s="183"/>
      <c r="F78" s="65"/>
      <c r="G78" s="65"/>
      <c r="H78" s="65"/>
      <c r="I78" s="65"/>
      <c r="J78" s="65"/>
      <c r="K78" s="65"/>
      <c r="L78" s="65"/>
      <c r="M78" s="65"/>
      <c r="N78" s="65"/>
      <c r="O78" s="65"/>
      <c r="P78" s="65"/>
    </row>
    <row r="79" spans="1:16">
      <c r="A79" s="65"/>
      <c r="B79" s="168"/>
      <c r="C79" s="142">
        <v>11</v>
      </c>
      <c r="D79" s="178"/>
      <c r="E79" s="183"/>
      <c r="F79" s="65"/>
      <c r="G79" s="65"/>
      <c r="H79" s="65"/>
      <c r="I79" s="65"/>
      <c r="J79" s="65"/>
      <c r="K79" s="65"/>
      <c r="L79" s="65"/>
      <c r="M79" s="65"/>
      <c r="N79" s="65"/>
      <c r="O79" s="65"/>
      <c r="P79" s="65"/>
    </row>
    <row r="80" spans="1:16">
      <c r="A80" s="65"/>
      <c r="B80" s="168"/>
      <c r="C80" s="142">
        <v>12</v>
      </c>
      <c r="D80" s="178"/>
      <c r="E80" s="183"/>
      <c r="F80" s="65"/>
      <c r="G80" s="65"/>
      <c r="H80" s="65"/>
      <c r="I80" s="65"/>
      <c r="J80" s="65"/>
      <c r="K80" s="65"/>
      <c r="L80" s="65"/>
      <c r="M80" s="65"/>
      <c r="N80" s="65"/>
      <c r="O80" s="65"/>
      <c r="P80" s="65"/>
    </row>
    <row r="81" spans="1:16">
      <c r="A81" s="65"/>
      <c r="B81" s="168"/>
      <c r="C81" s="142">
        <v>13</v>
      </c>
      <c r="D81" s="178"/>
      <c r="E81" s="183"/>
      <c r="F81" s="65"/>
      <c r="G81" s="65"/>
      <c r="H81" s="65"/>
      <c r="I81" s="65"/>
      <c r="J81" s="65"/>
      <c r="K81" s="65"/>
      <c r="L81" s="65"/>
      <c r="M81" s="65"/>
      <c r="N81" s="65"/>
      <c r="O81" s="65"/>
      <c r="P81" s="65"/>
    </row>
    <row r="82" spans="1:16">
      <c r="A82" s="65"/>
      <c r="B82" s="168"/>
      <c r="C82" s="142">
        <v>14</v>
      </c>
      <c r="D82" s="178"/>
      <c r="E82" s="183"/>
      <c r="F82" s="65"/>
      <c r="G82" s="65"/>
      <c r="H82" s="65"/>
      <c r="I82" s="65"/>
      <c r="J82" s="65"/>
      <c r="K82" s="65"/>
      <c r="L82" s="65"/>
      <c r="M82" s="65"/>
      <c r="N82" s="65"/>
      <c r="O82" s="65"/>
      <c r="P82" s="65"/>
    </row>
    <row r="83" spans="1:16">
      <c r="A83" s="65"/>
      <c r="B83" s="168"/>
      <c r="C83" s="142">
        <v>15</v>
      </c>
      <c r="D83" s="178"/>
      <c r="E83" s="183"/>
      <c r="F83" s="65"/>
      <c r="G83" s="65"/>
      <c r="H83" s="65"/>
      <c r="I83" s="65"/>
      <c r="J83" s="65"/>
      <c r="K83" s="65"/>
      <c r="L83" s="65"/>
      <c r="M83" s="65"/>
      <c r="N83" s="65"/>
      <c r="O83" s="65"/>
      <c r="P83" s="65"/>
    </row>
    <row r="84" spans="1:16">
      <c r="A84" s="65"/>
      <c r="B84" s="168"/>
      <c r="C84" s="142">
        <v>16</v>
      </c>
      <c r="D84" s="178"/>
      <c r="E84" s="183"/>
      <c r="F84" s="65"/>
      <c r="G84" s="65"/>
      <c r="H84" s="65"/>
      <c r="I84" s="65"/>
      <c r="J84" s="65"/>
      <c r="K84" s="65"/>
      <c r="L84" s="65"/>
      <c r="M84" s="65"/>
      <c r="N84" s="65"/>
      <c r="O84" s="65"/>
      <c r="P84" s="65"/>
    </row>
    <row r="85" spans="1:16">
      <c r="A85" s="65"/>
      <c r="B85" s="168"/>
      <c r="C85" s="142">
        <v>17</v>
      </c>
      <c r="D85" s="178"/>
      <c r="E85" s="183"/>
      <c r="F85" s="65"/>
      <c r="G85" s="65"/>
      <c r="H85" s="65"/>
      <c r="I85" s="65"/>
      <c r="J85" s="65"/>
      <c r="K85" s="65"/>
      <c r="L85" s="65"/>
      <c r="M85" s="65"/>
      <c r="N85" s="65"/>
      <c r="O85" s="65"/>
      <c r="P85" s="65"/>
    </row>
    <row r="86" spans="1:16">
      <c r="A86" s="65"/>
      <c r="B86" s="168"/>
      <c r="C86" s="142">
        <v>18</v>
      </c>
      <c r="D86" s="178"/>
      <c r="E86" s="183"/>
      <c r="F86" s="65"/>
      <c r="G86" s="65"/>
      <c r="H86" s="65"/>
      <c r="I86" s="65"/>
      <c r="J86" s="65"/>
      <c r="K86" s="65"/>
      <c r="L86" s="65"/>
      <c r="M86" s="65"/>
      <c r="N86" s="65"/>
      <c r="O86" s="65"/>
      <c r="P86" s="65"/>
    </row>
    <row r="87" spans="1:16">
      <c r="A87" s="65"/>
      <c r="B87" s="168"/>
      <c r="C87" s="142">
        <v>19</v>
      </c>
      <c r="D87" s="178"/>
      <c r="E87" s="183"/>
      <c r="F87" s="65"/>
      <c r="G87" s="65"/>
      <c r="H87" s="65"/>
      <c r="I87" s="65"/>
      <c r="J87" s="65"/>
      <c r="K87" s="65"/>
      <c r="L87" s="65"/>
      <c r="M87" s="65"/>
      <c r="N87" s="65"/>
      <c r="O87" s="65"/>
      <c r="P87" s="65"/>
    </row>
    <row r="88" spans="1:16">
      <c r="A88" s="65"/>
      <c r="B88" s="168"/>
      <c r="C88" s="142">
        <v>20</v>
      </c>
      <c r="D88" s="178"/>
      <c r="E88" s="183"/>
      <c r="F88" s="65"/>
      <c r="G88" s="65"/>
      <c r="H88" s="65"/>
      <c r="I88" s="65"/>
      <c r="J88" s="65"/>
      <c r="K88" s="65"/>
      <c r="L88" s="65"/>
      <c r="M88" s="65"/>
      <c r="N88" s="65"/>
      <c r="O88" s="65"/>
      <c r="P88" s="65"/>
    </row>
    <row r="89" spans="1:16" ht="14" thickBot="1">
      <c r="A89" s="65"/>
      <c r="B89" s="103"/>
      <c r="C89" s="339" t="s">
        <v>208</v>
      </c>
      <c r="D89" s="340"/>
      <c r="E89" s="144">
        <f>SUM(E69:E88)</f>
        <v>0</v>
      </c>
      <c r="F89" s="65"/>
      <c r="G89" s="65"/>
      <c r="H89" s="65"/>
      <c r="I89" s="65"/>
      <c r="J89" s="65"/>
      <c r="K89" s="65"/>
      <c r="L89" s="65"/>
      <c r="M89" s="65"/>
      <c r="N89" s="65"/>
      <c r="O89" s="65"/>
      <c r="P89" s="65"/>
    </row>
    <row r="90" spans="1:16" ht="14" thickBot="1">
      <c r="A90" s="65"/>
      <c r="B90" s="168"/>
      <c r="C90" s="65"/>
      <c r="D90" s="65"/>
      <c r="E90" s="65"/>
      <c r="F90" s="65"/>
      <c r="G90" s="65"/>
      <c r="H90" s="65"/>
      <c r="I90" s="65"/>
      <c r="J90" s="65"/>
      <c r="K90" s="65"/>
      <c r="L90" s="65"/>
      <c r="M90" s="65"/>
      <c r="N90" s="65"/>
      <c r="O90" s="65"/>
      <c r="P90" s="65"/>
    </row>
    <row r="91" spans="1:16">
      <c r="A91" s="65"/>
      <c r="B91" s="65"/>
      <c r="C91" s="332" t="s">
        <v>245</v>
      </c>
      <c r="D91" s="333"/>
      <c r="E91" s="333"/>
      <c r="F91" s="333"/>
      <c r="G91" s="333"/>
      <c r="H91" s="333"/>
      <c r="I91" s="333"/>
      <c r="J91" s="333"/>
      <c r="K91" s="333"/>
      <c r="L91" s="333"/>
      <c r="M91" s="333"/>
      <c r="N91" s="334"/>
      <c r="O91" s="65"/>
      <c r="P91" s="65"/>
    </row>
    <row r="92" spans="1:16" ht="74.5" customHeight="1" thickBot="1">
      <c r="A92" s="65"/>
      <c r="B92" s="65"/>
      <c r="C92" s="341"/>
      <c r="D92" s="342"/>
      <c r="E92" s="342"/>
      <c r="F92" s="342"/>
      <c r="G92" s="342"/>
      <c r="H92" s="342"/>
      <c r="I92" s="342"/>
      <c r="J92" s="342"/>
      <c r="K92" s="342"/>
      <c r="L92" s="342"/>
      <c r="M92" s="342"/>
      <c r="N92" s="343"/>
      <c r="O92" s="65"/>
      <c r="P92" s="65"/>
    </row>
    <row r="93" spans="1:16">
      <c r="A93" s="65"/>
      <c r="B93" s="65"/>
      <c r="C93" s="65"/>
      <c r="D93" s="65"/>
      <c r="E93" s="65"/>
      <c r="F93" s="65"/>
      <c r="G93" s="65"/>
      <c r="H93" s="65"/>
      <c r="I93" s="65"/>
      <c r="J93" s="65"/>
      <c r="K93" s="65"/>
      <c r="L93" s="65"/>
      <c r="M93" s="65"/>
      <c r="N93" s="65"/>
      <c r="O93" s="65"/>
      <c r="P93" s="65"/>
    </row>
    <row r="94" spans="1:16">
      <c r="B94" s="63"/>
    </row>
  </sheetData>
  <sheetProtection algorithmName="SHA-512" hashValue="vKFeXIANMxoi+0vtRxD/9wxCwlhsC+Pp/6ffeqkkseZ7iid1uxtZ/8w2TWIm+wlTpyEs2uFnbM1yhUkWNdl3Hw==" saltValue="lm9igABXXmDxlK80CoX+Sg==" spinCount="100000" sheet="1" formatCells="0" formatRows="0"/>
  <mergeCells count="81">
    <mergeCell ref="G18:H18"/>
    <mergeCell ref="G19:H19"/>
    <mergeCell ref="G20:H20"/>
    <mergeCell ref="G21:H21"/>
    <mergeCell ref="G22:H22"/>
    <mergeCell ref="G13:H13"/>
    <mergeCell ref="G14:H14"/>
    <mergeCell ref="G15:H15"/>
    <mergeCell ref="G16:H16"/>
    <mergeCell ref="G17:H17"/>
    <mergeCell ref="C92:N92"/>
    <mergeCell ref="E15:F15"/>
    <mergeCell ref="C63:N63"/>
    <mergeCell ref="C60:D60"/>
    <mergeCell ref="G60:I60"/>
    <mergeCell ref="L60:M60"/>
    <mergeCell ref="H44:I44"/>
    <mergeCell ref="H43:I43"/>
    <mergeCell ref="H42:I42"/>
    <mergeCell ref="H41:I41"/>
    <mergeCell ref="H40:I40"/>
    <mergeCell ref="C31:I31"/>
    <mergeCell ref="L31:M31"/>
    <mergeCell ref="C34:N34"/>
    <mergeCell ref="E30:F30"/>
    <mergeCell ref="E29:F29"/>
    <mergeCell ref="C91:N91"/>
    <mergeCell ref="H59:I59"/>
    <mergeCell ref="H58:I58"/>
    <mergeCell ref="H57:I57"/>
    <mergeCell ref="H56:I56"/>
    <mergeCell ref="C89:D89"/>
    <mergeCell ref="C67:E67"/>
    <mergeCell ref="H39:I39"/>
    <mergeCell ref="C38:E38"/>
    <mergeCell ref="G38:J38"/>
    <mergeCell ref="L38:N38"/>
    <mergeCell ref="C62:N62"/>
    <mergeCell ref="H55:I55"/>
    <mergeCell ref="H54:I54"/>
    <mergeCell ref="H50:I50"/>
    <mergeCell ref="H53:I53"/>
    <mergeCell ref="H52:I52"/>
    <mergeCell ref="H47:I47"/>
    <mergeCell ref="H45:I45"/>
    <mergeCell ref="H51:I51"/>
    <mergeCell ref="H48:I48"/>
    <mergeCell ref="H49:I49"/>
    <mergeCell ref="H46:I46"/>
    <mergeCell ref="C33:N33"/>
    <mergeCell ref="E23:F23"/>
    <mergeCell ref="E25:F25"/>
    <mergeCell ref="E22:F22"/>
    <mergeCell ref="E21:F21"/>
    <mergeCell ref="E28:F28"/>
    <mergeCell ref="E27:F27"/>
    <mergeCell ref="E24:F24"/>
    <mergeCell ref="G23:H23"/>
    <mergeCell ref="G29:H29"/>
    <mergeCell ref="G30:H30"/>
    <mergeCell ref="G24:H24"/>
    <mergeCell ref="G25:H25"/>
    <mergeCell ref="G26:H26"/>
    <mergeCell ref="G27:H27"/>
    <mergeCell ref="G28:H28"/>
    <mergeCell ref="E14:F14"/>
    <mergeCell ref="E19:F19"/>
    <mergeCell ref="E26:F26"/>
    <mergeCell ref="B4:O4"/>
    <mergeCell ref="C9:J9"/>
    <mergeCell ref="L9:N9"/>
    <mergeCell ref="E10:F10"/>
    <mergeCell ref="E20:F20"/>
    <mergeCell ref="E17:F17"/>
    <mergeCell ref="E18:F18"/>
    <mergeCell ref="E11:F11"/>
    <mergeCell ref="E13:F13"/>
    <mergeCell ref="E16:F16"/>
    <mergeCell ref="E12:F12"/>
    <mergeCell ref="G11:H11"/>
    <mergeCell ref="G12:H12"/>
  </mergeCells>
  <phoneticPr fontId="2"/>
  <dataValidations count="2">
    <dataValidation type="whole" allowBlank="1" showInputMessage="1" showErrorMessage="1" sqref="E40:E60 G11:H30 N11:N31 E69:E89 J40:J60 N40:N60 J11:J31" xr:uid="{E4C0C948-387C-468F-874E-D778A40E8A15}">
      <formula1>0</formula1>
      <formula2>5000</formula2>
    </dataValidation>
    <dataValidation type="whole" operator="greaterThanOrEqual" allowBlank="1" showInputMessage="1" showErrorMessage="1" sqref="I11:I30" xr:uid="{0D4027D1-40AF-46A4-9191-666EA6E5DEFA}">
      <formula1>0</formula1>
    </dataValidation>
  </dataValidations>
  <pageMargins left="0.25" right="0.25" top="0.75" bottom="0.75" header="0.3" footer="0.3"/>
  <pageSetup paperSize="9" scale="7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B896-DE07-459B-A195-94E9F9EE22E6}">
  <sheetPr codeName="Sheet6">
    <pageSetUpPr fitToPage="1"/>
  </sheetPr>
  <dimension ref="A1:I32"/>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2.640625" style="63" customWidth="1"/>
    <col min="5" max="5" width="15.85546875" style="63" customWidth="1"/>
    <col min="6" max="6" width="7.640625" style="63" customWidth="1"/>
    <col min="7" max="7" width="38.140625" style="63" customWidth="1"/>
    <col min="8" max="16384" width="2.78515625" style="63"/>
  </cols>
  <sheetData>
    <row r="1" spans="1:9">
      <c r="A1" s="61" t="s">
        <v>137</v>
      </c>
      <c r="B1" s="62"/>
      <c r="C1" s="61"/>
      <c r="D1" s="61"/>
      <c r="E1" s="61"/>
      <c r="F1" s="61"/>
      <c r="G1" s="160" t="s">
        <v>138</v>
      </c>
      <c r="H1" s="61" t="s">
        <v>246</v>
      </c>
      <c r="I1" s="61"/>
    </row>
    <row r="2" spans="1:9" ht="16">
      <c r="A2" s="61"/>
      <c r="B2" s="64" t="s">
        <v>140</v>
      </c>
      <c r="C2" s="64"/>
      <c r="D2" s="64"/>
      <c r="E2" s="64"/>
      <c r="F2" s="64"/>
      <c r="G2" s="61"/>
      <c r="H2" s="61"/>
      <c r="I2" s="61"/>
    </row>
    <row r="3" spans="1:9">
      <c r="A3" s="61"/>
      <c r="B3" s="61" t="s">
        <v>222</v>
      </c>
      <c r="C3" s="61"/>
      <c r="D3" s="61"/>
      <c r="E3" s="61"/>
      <c r="F3" s="61"/>
      <c r="G3" s="61"/>
      <c r="H3" s="61"/>
      <c r="I3" s="61"/>
    </row>
    <row r="4" spans="1:9" ht="50.15" customHeight="1">
      <c r="A4" s="61"/>
      <c r="B4" s="328" t="s">
        <v>247</v>
      </c>
      <c r="C4" s="328"/>
      <c r="D4" s="328"/>
      <c r="E4" s="328"/>
      <c r="F4" s="328"/>
      <c r="G4" s="328"/>
      <c r="H4" s="61"/>
      <c r="I4" s="61"/>
    </row>
    <row r="5" spans="1:9">
      <c r="A5" s="61"/>
      <c r="B5" s="61"/>
      <c r="C5" s="98"/>
      <c r="D5" s="98"/>
      <c r="E5" s="99"/>
      <c r="F5" s="99"/>
      <c r="G5" s="61"/>
      <c r="H5" s="61"/>
      <c r="I5" s="61"/>
    </row>
    <row r="6" spans="1:9" ht="5.25" customHeight="1" thickBot="1">
      <c r="A6" s="100"/>
      <c r="B6" s="100"/>
      <c r="C6" s="100"/>
      <c r="D6" s="100"/>
      <c r="E6" s="100"/>
      <c r="F6" s="100"/>
      <c r="G6" s="100"/>
      <c r="H6" s="100"/>
      <c r="I6" s="100"/>
    </row>
    <row r="7" spans="1:9">
      <c r="A7" s="65"/>
      <c r="B7" s="168"/>
      <c r="C7" s="169" t="s">
        <v>248</v>
      </c>
      <c r="D7" s="154"/>
      <c r="E7" s="154"/>
      <c r="F7" s="154"/>
      <c r="G7" s="155"/>
      <c r="H7" s="65"/>
      <c r="I7" s="65"/>
    </row>
    <row r="8" spans="1:9" ht="13.5" customHeight="1">
      <c r="A8" s="65"/>
      <c r="B8" s="168"/>
      <c r="C8" s="140" t="s">
        <v>212</v>
      </c>
      <c r="D8" s="170" t="s">
        <v>249</v>
      </c>
      <c r="E8" s="171" t="s">
        <v>250</v>
      </c>
      <c r="F8" s="345" t="s">
        <v>251</v>
      </c>
      <c r="G8" s="346"/>
      <c r="H8" s="65"/>
      <c r="I8" s="65"/>
    </row>
    <row r="9" spans="1:9">
      <c r="A9" s="65"/>
      <c r="B9" s="168"/>
      <c r="C9" s="142">
        <v>1</v>
      </c>
      <c r="D9" s="178"/>
      <c r="E9" s="184"/>
      <c r="F9" s="330"/>
      <c r="G9" s="344"/>
      <c r="H9" s="65"/>
      <c r="I9" s="65"/>
    </row>
    <row r="10" spans="1:9">
      <c r="A10" s="65"/>
      <c r="B10" s="168"/>
      <c r="C10" s="142">
        <v>2</v>
      </c>
      <c r="D10" s="178"/>
      <c r="E10" s="184"/>
      <c r="F10" s="330"/>
      <c r="G10" s="344"/>
      <c r="H10" s="65"/>
      <c r="I10" s="65"/>
    </row>
    <row r="11" spans="1:9">
      <c r="A11" s="65"/>
      <c r="B11" s="168"/>
      <c r="C11" s="142">
        <v>3</v>
      </c>
      <c r="D11" s="178"/>
      <c r="E11" s="184"/>
      <c r="F11" s="330"/>
      <c r="G11" s="344"/>
      <c r="H11" s="65"/>
      <c r="I11" s="65"/>
    </row>
    <row r="12" spans="1:9">
      <c r="A12" s="65"/>
      <c r="B12" s="168"/>
      <c r="C12" s="142">
        <v>4</v>
      </c>
      <c r="D12" s="178"/>
      <c r="E12" s="184"/>
      <c r="F12" s="330"/>
      <c r="G12" s="344"/>
      <c r="H12" s="65"/>
      <c r="I12" s="65"/>
    </row>
    <row r="13" spans="1:9">
      <c r="A13" s="65"/>
      <c r="B13" s="168"/>
      <c r="C13" s="142">
        <v>5</v>
      </c>
      <c r="D13" s="178"/>
      <c r="E13" s="184"/>
      <c r="F13" s="330"/>
      <c r="G13" s="344"/>
      <c r="H13" s="65"/>
      <c r="I13" s="65"/>
    </row>
    <row r="14" spans="1:9">
      <c r="A14" s="65"/>
      <c r="B14" s="168"/>
      <c r="C14" s="142">
        <v>6</v>
      </c>
      <c r="D14" s="178"/>
      <c r="E14" s="184"/>
      <c r="F14" s="330"/>
      <c r="G14" s="344"/>
      <c r="H14" s="65"/>
      <c r="I14" s="65"/>
    </row>
    <row r="15" spans="1:9">
      <c r="A15" s="65"/>
      <c r="B15" s="168"/>
      <c r="C15" s="142">
        <v>7</v>
      </c>
      <c r="D15" s="178"/>
      <c r="E15" s="184"/>
      <c r="F15" s="330"/>
      <c r="G15" s="344"/>
      <c r="H15" s="65"/>
      <c r="I15" s="65"/>
    </row>
    <row r="16" spans="1:9">
      <c r="A16" s="65"/>
      <c r="B16" s="168"/>
      <c r="C16" s="142">
        <v>8</v>
      </c>
      <c r="D16" s="178"/>
      <c r="E16" s="184"/>
      <c r="F16" s="330"/>
      <c r="G16" s="344"/>
      <c r="H16" s="65"/>
      <c r="I16" s="65"/>
    </row>
    <row r="17" spans="1:9">
      <c r="A17" s="65"/>
      <c r="B17" s="168"/>
      <c r="C17" s="142">
        <v>9</v>
      </c>
      <c r="D17" s="178"/>
      <c r="E17" s="184"/>
      <c r="F17" s="330"/>
      <c r="G17" s="344"/>
      <c r="H17" s="65"/>
      <c r="I17" s="65"/>
    </row>
    <row r="18" spans="1:9" ht="14" thickBot="1">
      <c r="A18" s="65"/>
      <c r="B18" s="168"/>
      <c r="C18" s="156">
        <v>10</v>
      </c>
      <c r="D18" s="185"/>
      <c r="E18" s="186"/>
      <c r="F18" s="347"/>
      <c r="G18" s="343"/>
      <c r="H18" s="65"/>
      <c r="I18" s="65"/>
    </row>
    <row r="19" spans="1:9" ht="14" thickBot="1">
      <c r="A19" s="100"/>
      <c r="B19" s="100"/>
      <c r="C19" s="100"/>
      <c r="D19" s="100"/>
      <c r="E19" s="100"/>
      <c r="F19" s="100"/>
      <c r="G19" s="100"/>
      <c r="H19" s="100"/>
      <c r="I19" s="65"/>
    </row>
    <row r="20" spans="1:9">
      <c r="A20" s="65"/>
      <c r="B20" s="168"/>
      <c r="C20" s="169" t="s">
        <v>252</v>
      </c>
      <c r="D20" s="154"/>
      <c r="E20" s="154"/>
      <c r="F20" s="154"/>
      <c r="G20" s="155"/>
      <c r="H20" s="65"/>
      <c r="I20" s="65"/>
    </row>
    <row r="21" spans="1:9">
      <c r="A21" s="65"/>
      <c r="B21" s="168"/>
      <c r="C21" s="140" t="s">
        <v>212</v>
      </c>
      <c r="D21" s="170" t="s">
        <v>253</v>
      </c>
      <c r="E21" s="171" t="s">
        <v>254</v>
      </c>
      <c r="F21" s="171" t="s">
        <v>250</v>
      </c>
      <c r="G21" s="141" t="s">
        <v>255</v>
      </c>
      <c r="H21" s="65"/>
      <c r="I21" s="65"/>
    </row>
    <row r="22" spans="1:9">
      <c r="A22" s="65"/>
      <c r="B22" s="168"/>
      <c r="C22" s="142">
        <v>1</v>
      </c>
      <c r="D22" s="178"/>
      <c r="E22" s="178"/>
      <c r="F22" s="184"/>
      <c r="G22" s="187"/>
      <c r="H22" s="65"/>
      <c r="I22" s="65"/>
    </row>
    <row r="23" spans="1:9">
      <c r="A23" s="65"/>
      <c r="B23" s="168"/>
      <c r="C23" s="142">
        <v>2</v>
      </c>
      <c r="D23" s="178"/>
      <c r="E23" s="178"/>
      <c r="F23" s="184"/>
      <c r="G23" s="187"/>
      <c r="H23" s="65"/>
      <c r="I23" s="65"/>
    </row>
    <row r="24" spans="1:9">
      <c r="A24" s="65"/>
      <c r="B24" s="168"/>
      <c r="C24" s="142">
        <v>3</v>
      </c>
      <c r="D24" s="178"/>
      <c r="E24" s="178"/>
      <c r="F24" s="184"/>
      <c r="G24" s="187"/>
      <c r="H24" s="65"/>
      <c r="I24" s="65"/>
    </row>
    <row r="25" spans="1:9">
      <c r="A25" s="65"/>
      <c r="B25" s="168"/>
      <c r="C25" s="142">
        <v>4</v>
      </c>
      <c r="D25" s="178"/>
      <c r="E25" s="178"/>
      <c r="F25" s="184"/>
      <c r="G25" s="187"/>
      <c r="H25" s="65"/>
      <c r="I25" s="65"/>
    </row>
    <row r="26" spans="1:9">
      <c r="A26" s="65"/>
      <c r="B26" s="168"/>
      <c r="C26" s="142">
        <v>5</v>
      </c>
      <c r="D26" s="178"/>
      <c r="E26" s="178"/>
      <c r="F26" s="184"/>
      <c r="G26" s="187"/>
      <c r="H26" s="65"/>
      <c r="I26" s="65"/>
    </row>
    <row r="27" spans="1:9">
      <c r="A27" s="65"/>
      <c r="B27" s="168"/>
      <c r="C27" s="142">
        <v>6</v>
      </c>
      <c r="D27" s="178"/>
      <c r="E27" s="178"/>
      <c r="F27" s="184"/>
      <c r="G27" s="187"/>
      <c r="H27" s="65"/>
      <c r="I27" s="65"/>
    </row>
    <row r="28" spans="1:9">
      <c r="A28" s="65"/>
      <c r="B28" s="168"/>
      <c r="C28" s="142">
        <v>7</v>
      </c>
      <c r="D28" s="178"/>
      <c r="E28" s="178"/>
      <c r="F28" s="184"/>
      <c r="G28" s="187"/>
      <c r="H28" s="65"/>
      <c r="I28" s="65"/>
    </row>
    <row r="29" spans="1:9">
      <c r="A29" s="65"/>
      <c r="B29" s="168"/>
      <c r="C29" s="142">
        <v>8</v>
      </c>
      <c r="D29" s="178"/>
      <c r="E29" s="178"/>
      <c r="F29" s="184"/>
      <c r="G29" s="187"/>
      <c r="H29" s="65"/>
      <c r="I29" s="65"/>
    </row>
    <row r="30" spans="1:9">
      <c r="A30" s="65"/>
      <c r="B30" s="168"/>
      <c r="C30" s="142">
        <v>9</v>
      </c>
      <c r="D30" s="178"/>
      <c r="E30" s="178"/>
      <c r="F30" s="184"/>
      <c r="G30" s="187"/>
      <c r="H30" s="65"/>
      <c r="I30" s="65"/>
    </row>
    <row r="31" spans="1:9" ht="14" thickBot="1">
      <c r="A31" s="65"/>
      <c r="B31" s="168"/>
      <c r="C31" s="156">
        <v>10</v>
      </c>
      <c r="D31" s="185"/>
      <c r="E31" s="185"/>
      <c r="F31" s="186"/>
      <c r="G31" s="188"/>
      <c r="H31" s="65"/>
      <c r="I31" s="65"/>
    </row>
    <row r="32" spans="1:9">
      <c r="A32" s="65"/>
      <c r="B32" s="168"/>
      <c r="C32" s="65"/>
      <c r="D32" s="65"/>
      <c r="E32" s="65"/>
      <c r="F32" s="65"/>
      <c r="G32" s="65"/>
      <c r="H32" s="65"/>
      <c r="I32" s="65"/>
    </row>
  </sheetData>
  <sheetProtection algorithmName="SHA-512" hashValue="kykHf+CvUD2xCeO9ooQU+Q1+lR2WNg0FaXYRQ2ghOrCDBv6NpzgpY/KdLyKjY/F8cE4fMsl91o3MdHIh2crYQQ==" saltValue="zHsITCGVYbp5xIaoIbqyRw==" spinCount="100000" sheet="1" formatCells="0" formatRows="0"/>
  <mergeCells count="12">
    <mergeCell ref="F12:G12"/>
    <mergeCell ref="F13:G13"/>
    <mergeCell ref="F18:G18"/>
    <mergeCell ref="F17:G17"/>
    <mergeCell ref="F16:G16"/>
    <mergeCell ref="F15:G15"/>
    <mergeCell ref="F14:G14"/>
    <mergeCell ref="B4:G4"/>
    <mergeCell ref="F10:G10"/>
    <mergeCell ref="F8:G8"/>
    <mergeCell ref="F9:G9"/>
    <mergeCell ref="F11:G11"/>
  </mergeCells>
  <phoneticPr fontId="2"/>
  <dataValidations count="1">
    <dataValidation type="whole" allowBlank="1" showInputMessage="1" showErrorMessage="1" sqref="E9:E18 F22:F31" xr:uid="{3C82CFC6-DA92-435B-83C7-1B93604915B8}">
      <formula1>0</formula1>
      <formula2>5000</formula2>
    </dataValidation>
  </dataValidations>
  <pageMargins left="0.25" right="0.25" top="0.75" bottom="0.75" header="0.3" footer="0.3"/>
  <pageSetup paperSize="9" scale="7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8556-3B3B-4158-8541-1DD4499854B8}">
  <sheetPr codeName="Sheet7"/>
  <dimension ref="A1:D11"/>
  <sheetViews>
    <sheetView zoomScale="108" workbookViewId="0">
      <selection activeCell="B46" sqref="B46:F46"/>
    </sheetView>
  </sheetViews>
  <sheetFormatPr defaultColWidth="9.140625" defaultRowHeight="13.5"/>
  <cols>
    <col min="1" max="1" width="28.85546875" style="63" bestFit="1" customWidth="1"/>
    <col min="2" max="2" width="19.85546875" style="63" bestFit="1" customWidth="1"/>
    <col min="3" max="3" width="34.85546875" style="63" bestFit="1" customWidth="1"/>
    <col min="4" max="4" width="34.85546875" style="105" bestFit="1" customWidth="1"/>
    <col min="5" max="16384" width="9.140625" style="105"/>
  </cols>
  <sheetData>
    <row r="1" spans="1:4">
      <c r="A1" s="146" t="s">
        <v>256</v>
      </c>
      <c r="B1" s="146" t="s">
        <v>257</v>
      </c>
      <c r="C1" s="146" t="s">
        <v>258</v>
      </c>
      <c r="D1" s="146" t="s">
        <v>259</v>
      </c>
    </row>
    <row r="2" spans="1:4" ht="15">
      <c r="A2" s="63" t="s">
        <v>22</v>
      </c>
      <c r="B2" s="63" t="s">
        <v>260</v>
      </c>
      <c r="C2" t="s">
        <v>261</v>
      </c>
      <c r="D2" t="s">
        <v>262</v>
      </c>
    </row>
    <row r="3" spans="1:4" ht="15">
      <c r="A3" s="63" t="s">
        <v>25</v>
      </c>
      <c r="B3" s="63" t="s">
        <v>263</v>
      </c>
      <c r="C3" t="s">
        <v>264</v>
      </c>
      <c r="D3" t="s">
        <v>265</v>
      </c>
    </row>
    <row r="4" spans="1:4" ht="15">
      <c r="A4" s="63" t="s">
        <v>28</v>
      </c>
      <c r="B4" s="63" t="s">
        <v>266</v>
      </c>
      <c r="C4" t="s">
        <v>267</v>
      </c>
      <c r="D4" t="s">
        <v>268</v>
      </c>
    </row>
    <row r="5" spans="1:4" ht="15">
      <c r="A5" s="63" t="s">
        <v>31</v>
      </c>
      <c r="B5" s="63" t="s">
        <v>269</v>
      </c>
      <c r="C5" t="s">
        <v>270</v>
      </c>
      <c r="D5" t="s">
        <v>271</v>
      </c>
    </row>
    <row r="6" spans="1:4" ht="15">
      <c r="A6" s="63" t="s">
        <v>34</v>
      </c>
      <c r="B6" s="63" t="s">
        <v>272</v>
      </c>
      <c r="C6" t="s">
        <v>273</v>
      </c>
      <c r="D6" t="s">
        <v>274</v>
      </c>
    </row>
    <row r="7" spans="1:4" ht="15">
      <c r="A7" s="63" t="s">
        <v>275</v>
      </c>
      <c r="B7" s="63" t="s">
        <v>276</v>
      </c>
      <c r="C7" t="s">
        <v>277</v>
      </c>
      <c r="D7" t="s">
        <v>278</v>
      </c>
    </row>
    <row r="8" spans="1:4" ht="15">
      <c r="A8" s="63" t="s">
        <v>40</v>
      </c>
      <c r="B8" s="63" t="s">
        <v>279</v>
      </c>
      <c r="D8" t="s">
        <v>280</v>
      </c>
    </row>
    <row r="9" spans="1:4" ht="15">
      <c r="A9" s="63" t="s">
        <v>43</v>
      </c>
      <c r="B9" s="63" t="s">
        <v>281</v>
      </c>
      <c r="D9" t="s">
        <v>277</v>
      </c>
    </row>
    <row r="10" spans="1:4">
      <c r="A10" s="63" t="s">
        <v>46</v>
      </c>
      <c r="B10" s="63" t="s">
        <v>282</v>
      </c>
    </row>
    <row r="11" spans="1:4">
      <c r="A11" s="63" t="s">
        <v>49</v>
      </c>
    </row>
  </sheetData>
  <sheetProtection algorithmName="SHA-512" hashValue="PjlyV6uAZpYFlDjQsNwrFdg+vsTfLUc36nSEwPJLdhGsFDqtf1XIwY5Cc2JJ45SAYk+933OgU+WHJz8APVw+Ew==" saltValue="qQiNSF8hPs94v7t27dzoXg==" spinCount="100000" sheet="1" objects="1" scenarios="1"/>
  <phoneticPr fontId="2"/>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63F03804949045A35849C28DD81207" ma:contentTypeVersion="12" ma:contentTypeDescription="Create a new document." ma:contentTypeScope="" ma:versionID="34b074259d62cce2b4fab6498e0e7e30">
  <xsd:schema xmlns:xsd="http://www.w3.org/2001/XMLSchema" xmlns:xs="http://www.w3.org/2001/XMLSchema" xmlns:p="http://schemas.microsoft.com/office/2006/metadata/properties" xmlns:ns2="b187e7f0-da63-4711-b580-5bf61729b0d2" xmlns:ns3="04ed3755-3beb-476b-8c9d-64668640ee3d" targetNamespace="http://schemas.microsoft.com/office/2006/metadata/properties" ma:root="true" ma:fieldsID="4017c01b0e28efef8f702e3abd6823a5" ns2:_="" ns3:_="">
    <xsd:import namespace="b187e7f0-da63-4711-b580-5bf61729b0d2"/>
    <xsd:import namespace="04ed3755-3beb-476b-8c9d-64668640ee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7e7f0-da63-4711-b580-5bf61729b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ed3755-3beb-476b-8c9d-64668640ee3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ee185f1-d76b-4903-bc4a-c99ab1e72973}" ma:internalName="TaxCatchAll" ma:showField="CatchAllData" ma:web="04ed3755-3beb-476b-8c9d-64668640ee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7e7f0-da63-4711-b580-5bf61729b0d2">
      <Terms xmlns="http://schemas.microsoft.com/office/infopath/2007/PartnerControls"/>
    </lcf76f155ced4ddcb4097134ff3c332f>
    <TaxCatchAll xmlns="04ed3755-3beb-476b-8c9d-64668640ee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BD0268-70ED-4579-BB17-C8769EFF2A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7e7f0-da63-4711-b580-5bf61729b0d2"/>
    <ds:schemaRef ds:uri="04ed3755-3beb-476b-8c9d-64668640e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1DEEEF-3AB6-4E12-9EDD-3A0B63819F45}">
  <ds:schemaRefs>
    <ds:schemaRef ds:uri="http://schemas.microsoft.com/office/2006/metadata/properties"/>
    <ds:schemaRef ds:uri="http://schemas.microsoft.com/office/infopath/2007/PartnerControls"/>
    <ds:schemaRef ds:uri="b187e7f0-da63-4711-b580-5bf61729b0d2"/>
    <ds:schemaRef ds:uri="04ed3755-3beb-476b-8c9d-64668640ee3d"/>
  </ds:schemaRefs>
</ds:datastoreItem>
</file>

<file path=customXml/itemProps3.xml><?xml version="1.0" encoding="utf-8"?>
<ds:datastoreItem xmlns:ds="http://schemas.openxmlformats.org/officeDocument/2006/customXml" ds:itemID="{4A3853E0-7ADA-4E0F-8CED-44C08555A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はじめにご確認ください）記入にあたっての留意事項</vt:lpstr>
      <vt:lpstr>参考）府省共通経費取扱区分表</vt:lpstr>
      <vt:lpstr>研究計画調書_1枚目</vt:lpstr>
      <vt:lpstr>研究計画調書_2枚目</vt:lpstr>
      <vt:lpstr>研究計画調書_3枚目</vt:lpstr>
      <vt:lpstr>研究計画調書_4枚目</vt:lpstr>
      <vt:lpstr>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2026-06-02T04:35:30Z</dcterms:created>
  <dcterms:modified xsi:type="dcterms:W3CDTF">2026-06-02T05:13:56Z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2026-06-02T04:37:45Z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4af9d079-79af-44c0-8069-92c311fcf713</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y fmtid="{D5CDD505-2E9C-101B-9397-08002B2CF9AE}" pid="10" name="ContentTypeId">
    <vt:lpwstr>0x0101000263F03804949045A35849C28DD81207</vt:lpwstr>
  </property>
  <property fmtid="{D5CDD505-2E9C-101B-9397-08002B2CF9AE}" pid="11" name="MSIP_Label_d899a617-f30e-4fb8-b81c-fb6d0b94ac5b_Enabled">
    <vt:lpwstr>true</vt:lpwstr>
  </property>
  <property fmtid="{D5CDD505-2E9C-101B-9397-08002B2CF9AE}" pid="12" name="MSIP_Label_d899a617-f30e-4fb8-b81c-fb6d0b94ac5b_SetDate">
    <vt:lpwstr>2026-06-02T05:13:55Z</vt:lpwstr>
  </property>
  <property fmtid="{D5CDD505-2E9C-101B-9397-08002B2CF9AE}" pid="13" name="MSIP_Label_d899a617-f30e-4fb8-b81c-fb6d0b94ac5b_Method">
    <vt:lpwstr>Standard</vt:lpwstr>
  </property>
  <property fmtid="{D5CDD505-2E9C-101B-9397-08002B2CF9AE}" pid="14" name="MSIP_Label_d899a617-f30e-4fb8-b81c-fb6d0b94ac5b_Name">
    <vt:lpwstr>機密性2情報</vt:lpwstr>
  </property>
  <property fmtid="{D5CDD505-2E9C-101B-9397-08002B2CF9AE}" pid="15" name="MSIP_Label_d899a617-f30e-4fb8-b81c-fb6d0b94ac5b_SiteId">
    <vt:lpwstr>545810b0-36cb-4290-8926-48dbc0f9e92f</vt:lpwstr>
  </property>
  <property fmtid="{D5CDD505-2E9C-101B-9397-08002B2CF9AE}" pid="16" name="MSIP_Label_d899a617-f30e-4fb8-b81c-fb6d0b94ac5b_ActionId">
    <vt:lpwstr>c4695142-ff98-48b4-b9b3-67503206d824</vt:lpwstr>
  </property>
  <property fmtid="{D5CDD505-2E9C-101B-9397-08002B2CF9AE}" pid="17" name="MSIP_Label_d899a617-f30e-4fb8-b81c-fb6d0b94ac5b_ContentBits">
    <vt:lpwstr>0</vt:lpwstr>
  </property>
  <property fmtid="{D5CDD505-2E9C-101B-9397-08002B2CF9AE}" pid="18" name="MSIP_Label_d899a617-f30e-4fb8-b81c-fb6d0b94ac5b_Tag">
    <vt:lpwstr>10, 3, 0, 1</vt:lpwstr>
  </property>
</Properties>
</file>