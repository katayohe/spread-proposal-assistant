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xr:revisionPtr revIDLastSave="0" documentId="13_ncr:1_{B1A67BBE-EA91-41FB-85B6-847EEDB19CDA}" xr6:coauthVersionLast="47" xr6:coauthVersionMax="47" xr10:uidLastSave="{00000000-0000-0000-0000-000000000000}"/>
  <bookViews>
    <workbookView xWindow="-110" yWindow="-110" windowWidth="23260" windowHeight="14860" tabRatio="802" firstSheet="1" activeTab="3" xr2:uid="{4A40FEF8-40AC-48C6-B3F5-926D2B11B046}"/>
  </bookViews>
  <sheets>
    <sheet name="はじめにご確認ください）記入にあたっての留意事項" sheetId="9" r:id="rId1"/>
    <sheet name="参考）府省共通経費取扱区分表" sheetId="11" r:id="rId2"/>
    <sheet name="研究計画調書_1枚目" sheetId="5" r:id="rId3"/>
    <sheet name="研究計画調書_2枚目" sheetId="6" r:id="rId4"/>
    <sheet name="研究計画調書_3枚目" sheetId="7" r:id="rId5"/>
    <sheet name="研究計画調書_4枚目" sheetId="10" r:id="rId6"/>
    <sheet name="研究計画調書_5枚目" sheetId="12" r:id="rId7"/>
    <sheet name="リスト" sheetId="8"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0" i="5" l="1"/>
  <c r="D30" i="5"/>
  <c r="J30" i="5"/>
  <c r="H30" i="5"/>
  <c r="F30" i="5"/>
  <c r="M22" i="5"/>
  <c r="C11" i="6"/>
  <c r="C9" i="6"/>
  <c r="C3" i="6"/>
  <c r="B3" i="6"/>
  <c r="M26" i="5"/>
  <c r="C15" i="6"/>
  <c r="C7" i="6"/>
  <c r="C5" i="6"/>
  <c r="L22" i="5"/>
  <c r="B15" i="6"/>
  <c r="B11" i="6"/>
  <c r="L26" i="5"/>
  <c r="B9" i="6"/>
  <c r="B7" i="6"/>
  <c r="B5" i="6"/>
  <c r="C30" i="5" l="1"/>
</calcChain>
</file>

<file path=xl/sharedStrings.xml><?xml version="1.0" encoding="utf-8"?>
<sst xmlns="http://schemas.openxmlformats.org/spreadsheetml/2006/main" count="306" uniqueCount="250">
  <si>
    <t>No</t>
    <phoneticPr fontId="1"/>
  </si>
  <si>
    <t>項目</t>
    <rPh sb="0" eb="2">
      <t>コウモク</t>
    </rPh>
    <phoneticPr fontId="1"/>
  </si>
  <si>
    <t>留意事項</t>
    <rPh sb="0" eb="4">
      <t>リュウイジコウ</t>
    </rPh>
    <phoneticPr fontId="1"/>
  </si>
  <si>
    <t>入力内容の確認について</t>
    <phoneticPr fontId="1"/>
  </si>
  <si>
    <t>未入力のセルは薄いオレンジ色で表示されています。提出前に、記入が必要な箇所について、薄いオレンジのセルが解消されているか必ず確認してください。
※薄いオレンジ色のセルは未入力箇所を示していますが、すべての項目が記入必須ではありません。該当しない項目や入力不要な項目については、無理に記入する必要はありません。</t>
  </si>
  <si>
    <t>文字数制限の確認について</t>
    <phoneticPr fontId="1"/>
  </si>
  <si>
    <t>文字数制限のある項目は、文字数カウントを必ず確認のうえ、規定の文字数範囲内に収めてください。
文字数制限に対して超過/不足している場合、書類不備として「不受理」扱いとなることがございますので、ご留意ください。
 ★上限超過の場合：文字数カウントが赤字で表示されます
 ★下限不足の場合：セルの薄いオレンジ色が解消されません</t>
    <rPh sb="47" eb="50">
      <t>モジスウ</t>
    </rPh>
    <rPh sb="50" eb="52">
      <t>セイゲン</t>
    </rPh>
    <rPh sb="53" eb="54">
      <t>タイ</t>
    </rPh>
    <rPh sb="56" eb="58">
      <t>チョウカ</t>
    </rPh>
    <rPh sb="59" eb="61">
      <t>フソク</t>
    </rPh>
    <rPh sb="65" eb="67">
      <t>バアイ</t>
    </rPh>
    <rPh sb="68" eb="72">
      <t>ショルイフビ</t>
    </rPh>
    <rPh sb="76" eb="79">
      <t>フジュリ</t>
    </rPh>
    <rPh sb="80" eb="81">
      <t>アツカ</t>
    </rPh>
    <rPh sb="97" eb="99">
      <t>リュウイ</t>
    </rPh>
    <rPh sb="146" eb="147">
      <t>ウス</t>
    </rPh>
    <phoneticPr fontId="1"/>
  </si>
  <si>
    <t>調書の構成について</t>
    <phoneticPr fontId="1"/>
  </si>
  <si>
    <t>研究計画調書の構成は下記のとおりです。応募者による記入が必要なタブは、全体で5枚となっております。
・はじめにご確認ください）記入にあたっての留意事項
・参考）府省共通経費取扱区分表
・研究計画調書_1枚目：基本情報
・研究計画調書_2枚目：研究目的、研究方法等
・研究計画調書_3枚目：研究経費の内訳
・研究計画調書_4枚目：API・計算資源の算定根拠の詳細　※必要な場合のみ記入
・研究計画調書_5枚目：AIインタビュー実施完了報告書(スクリーンショット)
※「リスト」タブは、閲覧不要で一切の編集が不可となっております。</t>
  </si>
  <si>
    <t>様式（フォーマット）の取扱いについて</t>
    <phoneticPr fontId="1"/>
  </si>
  <si>
    <t>調書は入力項目以外の編集が制限されています。レイアウト・書式の変更は行わないでください。
3枚目のみ、行の追加が可能です（必要な場合に限る）。</t>
    <phoneticPr fontId="1"/>
  </si>
  <si>
    <t>研究計画調書のファイル名について</t>
    <rPh sb="0" eb="6">
      <t>ケンキュウケイカクチョウショ</t>
    </rPh>
    <rPh sb="11" eb="12">
      <t>メイ</t>
    </rPh>
    <phoneticPr fontId="1"/>
  </si>
  <si>
    <t>本ファイルのファイル名「様式１＿研究計画調書＿e-Rad所属機関コード＿ローマ字氏名」のうち、「e-Rad所属機関コード」「ローマ字氏名」をご自身の情報に更新ください。e-Rad所属機関コードは半角数字、ローマ字氏名は半角英字で姓名の順で記載ください。</t>
    <phoneticPr fontId="1"/>
  </si>
  <si>
    <t>その他</t>
    <rPh sb="2" eb="3">
      <t>ホカ</t>
    </rPh>
    <phoneticPr fontId="1"/>
  </si>
  <si>
    <t>研究領域およびユースケースの定義については、下記に提示する情報を参照のうえ、ご自身の該当のものを選択してください。
また研究経費については、下部の「府省共通経費取扱区分表について」および別タブの「参考）府省共通経費取扱区分表」を参照しご記載ください。</t>
    <rPh sb="22" eb="24">
      <t>カキ</t>
    </rPh>
    <rPh sb="29" eb="31">
      <t>ジョウホウ</t>
    </rPh>
    <rPh sb="39" eb="41">
      <t>ジシン</t>
    </rPh>
    <rPh sb="42" eb="44">
      <t>ガイトウ</t>
    </rPh>
    <rPh sb="48" eb="50">
      <t>センタク</t>
    </rPh>
    <rPh sb="60" eb="64">
      <t>ケンキュウケイヒ</t>
    </rPh>
    <rPh sb="70" eb="72">
      <t>シタブ</t>
    </rPh>
    <rPh sb="93" eb="94">
      <t>ベツ</t>
    </rPh>
    <rPh sb="98" eb="100">
      <t>サンコウ</t>
    </rPh>
    <rPh sb="101" eb="109">
      <t>フショウキョウツウケイヒトリアツカ</t>
    </rPh>
    <rPh sb="109" eb="112">
      <t>クブンヒョウ</t>
    </rPh>
    <rPh sb="114" eb="116">
      <t>サンショウ</t>
    </rPh>
    <rPh sb="118" eb="120">
      <t>キサイ</t>
    </rPh>
    <phoneticPr fontId="1"/>
  </si>
  <si>
    <t>【参考：研究領域分類】</t>
    <rPh sb="1" eb="3">
      <t>サンコウ</t>
    </rPh>
    <rPh sb="4" eb="8">
      <t>ケンキュウリョウイキ</t>
    </rPh>
    <rPh sb="8" eb="10">
      <t>ブンルイ</t>
    </rPh>
    <phoneticPr fontId="1"/>
  </si>
  <si>
    <t>研究領域</t>
    <rPh sb="0" eb="4">
      <t>ケンキュウリョウイキ</t>
    </rPh>
    <phoneticPr fontId="1"/>
  </si>
  <si>
    <t>定義</t>
    <rPh sb="0" eb="2">
      <t>テイギ</t>
    </rPh>
    <phoneticPr fontId="1"/>
  </si>
  <si>
    <t>研究分野（例）</t>
  </si>
  <si>
    <t>臨床科学</t>
  </si>
  <si>
    <t>疾患の診断・治療・予防・予後改善を目的に、患者・集団・医療現場を対象として知見を創出・検証する研究領域。</t>
  </si>
  <si>
    <t>内科医学、臓器別内科・生体情報医学、外科医学、機能・感覚系外科、口腔科学、社会医学・看護学、スポーツ科学、獣医学　等</t>
  </si>
  <si>
    <t>生命科学・薬学</t>
  </si>
  <si>
    <t>生命現象を分子・細胞・個体レベルで解明し、創薬・薬理・生体制御へ展開する研究領域。</t>
  </si>
  <si>
    <t>細胞生物学、進化生物学、神経科学、薬学、生体構造・機能学、病理学、腫瘍学、脳科学　等</t>
  </si>
  <si>
    <t>化学</t>
  </si>
  <si>
    <t>原子・分子・物質の構造、反応、物性、合成、変換を扱い、新物質・新機能を創出する研究領域。</t>
  </si>
  <si>
    <t>物理化学、有機化学、無機・錯体・分析化学、高分子・有機材料額、無機材料・エネルギー化学、生体分子化学　等</t>
  </si>
  <si>
    <t>機械・社会基盤・エネルギー工学</t>
  </si>
  <si>
    <t>機械、構造、流体・熱、移動体、建築・土木、社会基盤、安全・防災、エネルギーシステムを対象に、設計・制御・実装を行う研究領域。</t>
  </si>
  <si>
    <t>材料力学・設計・生産工学、流体・熱工学、機械力学・ロボティクス、土木工学、建築学、航空宇宙・海洋工学、社会システム・防災工学、エネルギー・資源工学　等</t>
  </si>
  <si>
    <t>材料・プロセス・応用医工学</t>
  </si>
  <si>
    <t xml:space="preserve">材料、界面、プロセス、ナノスケール構造、応用物性、生体適合技術を対象に、機能創出と応用実装を進める研究領域。
</t>
  </si>
  <si>
    <t>材料工学、化学工学、ナノ・マイクロ科学、応用物性、人間医工学　等</t>
  </si>
  <si>
    <t>電気工学・電子工学・情報科学・コンピューターサイエンス</t>
    <phoneticPr fontId="1"/>
  </si>
  <si>
    <t>電気・電子・光・制御・計測・通信・デバイスや、計算、ソフトウェア、データ、ネットワーク、知能情報処理を扱う研究領域。</t>
  </si>
  <si>
    <t>電気電子工学、応用物理・デバイス工学、情報科学・情報工学、人間情報・応用情報　等</t>
  </si>
  <si>
    <t>数学・物理学・地球科学</t>
  </si>
  <si>
    <t>数理構造、自然法則、地球・宇宙システムの基礎原理を理論・観測・実験・解析で解明する研究領域。</t>
  </si>
  <si>
    <t>代数・幾何学、解析・応用数学、物性物理学、宇宙物理学、天文学、地球惑星科学　等</t>
  </si>
  <si>
    <t>農学・環境学・生態学</t>
  </si>
  <si>
    <t>生物資源、農業生産、食料、環境保全、生態系維持を扱う研究領域。</t>
  </si>
  <si>
    <t>農芸化学、生産環境農学、森林・水圏科学、農業工学・農業経済、環境評価・環境保全　等</t>
  </si>
  <si>
    <t>社会科学</t>
  </si>
  <si>
    <t>人間の行動、制度、組織、市場、政策、社会構造を理論的・実証的に分析する研究領域。</t>
  </si>
  <si>
    <t>文化人類学、法制度、政治学、経済・経営学、社会学、教育学、心理学　等</t>
  </si>
  <si>
    <t>芸術・人文科学</t>
  </si>
  <si>
    <t>文化、歴史、思想、言語、表現、価値形成を解釈・批評・史資料分析により探究する研究領域。</t>
  </si>
  <si>
    <t>哲学、芸術学、文学・言語、歴史学、考古学　等</t>
  </si>
  <si>
    <t>【参考：ユースケース分類】</t>
    <rPh sb="1" eb="3">
      <t>サンコウ</t>
    </rPh>
    <rPh sb="10" eb="12">
      <t>ブンルイ</t>
    </rPh>
    <phoneticPr fontId="1"/>
  </si>
  <si>
    <t>開発／利用</t>
  </si>
  <si>
    <t>ユースケースの分類</t>
  </si>
  <si>
    <t>定義・判断基準</t>
  </si>
  <si>
    <t>具体イメージ</t>
  </si>
  <si>
    <t>開発</t>
    <phoneticPr fontId="1"/>
  </si>
  <si>
    <t>学習用データセット構築</t>
  </si>
  <si>
    <t>今後のAI・深層学習での活用を前提としたデータ収集や加工の過程が主である場合は本ユースケースに該当（実験やフィールドワーク等によるデータ収集も含む）</t>
  </si>
  <si>
    <t>・古文書のデジタイズ・前処理・メタデータ整備により「AI ready」に
・化学における機械学習ポテンシャル開発のため学習データセット整備</t>
    <phoneticPr fontId="1"/>
  </si>
  <si>
    <t>開発</t>
  </si>
  <si>
    <t>既存モデルの適応</t>
  </si>
  <si>
    <t>既存の基盤モデルを、事後学習・ファインチューニングにより、軽量化・高速化・最適化することが主な場合は本ユースケースに該当（学習を伴わないRAGの構築などは、本ユースケースでなく、「利用」が該当）</t>
    <rPh sb="72" eb="74">
      <t>コウチク</t>
    </rPh>
    <phoneticPr fontId="1"/>
  </si>
  <si>
    <t>・基盤モデルをファインチューニングし、多様な科学文書から半導体材料に関わる情報を抽出・構造化して整理するモデルを開発
・基盤LLMをベースに、低コストで運用しやすい小規模なモデルを開発​</t>
    <phoneticPr fontId="1"/>
  </si>
  <si>
    <t>AIモデル開発</t>
  </si>
  <si>
    <t>自らモデル構築し、データ収集・事前学習・微調整・検証・評価の一連のサイクルが全て含まれる場合は本ユースケースに該当（大規模言語モデルに限らず、深層学習を活用した研究を含む）</t>
    <phoneticPr fontId="1"/>
  </si>
  <si>
    <t>・生物実験のスケジュールや自動化できる小規模AIモデルの開発
・流体方程式を組み込んだ物理系のAIシミュレーションの開発​
・素粒子加速実験におけるジェット分類を行う深層学習モデル開発​</t>
    <phoneticPr fontId="1"/>
  </si>
  <si>
    <t>既存モデル評価</t>
  </si>
  <si>
    <t>既存モデルの「検証・評価・改善」を主目的としている研究は本ユースケースに該当。AIの改善を目的としていれば、仕組みの理解（例：プロービング）の研究も本ユースケースに該当</t>
  </si>
  <si>
    <t>・注意機構を分析することにより、ハルシネーションの少ないAIを開発するための示唆を抽出
・"LLM-as-a-judge" の信頼性向上にむけた研究</t>
    <phoneticPr fontId="1"/>
  </si>
  <si>
    <t>利用</t>
  </si>
  <si>
    <t>実験自動化・自律化</t>
  </si>
  <si>
    <t>物理的な実験装置・ロボット・機械等の接続が含まれる場合は本ユースケースに該当 (ただし、本事業期間中はコード開発等に留まり、実際の器具等を扱わない場合、本ユースケースでなく、他の分類から最適なものを選択)​</t>
  </si>
  <si>
    <t>・カメラと連携し、作物の病気の予兆を検出するAIカメラの開発
・ロボアームと連携し、小規模な実験を自立的に遂行するAI開発</t>
    <rPh sb="49" eb="51">
      <t>ジリツ</t>
    </rPh>
    <phoneticPr fontId="1"/>
  </si>
  <si>
    <t>シミュレーション・デジタルツイン</t>
  </si>
  <si>
    <t>既存のAIを利用(※)が主で、現時点では「実際の実験・観測」による研究が必要なプロセスを、シミュレーション・デジタルツインにより代替することを企図する研究が該当（スクラッチでのモデル開発の場合は「AIモデル開発」に該当）</t>
    <rPh sb="71" eb="73">
      <t>キト</t>
    </rPh>
    <phoneticPr fontId="1"/>
  </si>
  <si>
    <t>・言語獲得の過程を、LLMを人間に見立てシミュレーションする研究
・AIエージェントを用いることで「社会」をシミュレーション研究​
・バーチャル臓器による臨床試験のプロトタイプを開発​</t>
    <phoneticPr fontId="1"/>
  </si>
  <si>
    <t>発見・設計支援</t>
  </si>
  <si>
    <t>既存のAIを利用(※)が主で、仮説生成から実験計画など、「実際の実験・解析」などに至る前段階のプロセスをAIにより効率化・自立化する場合が該当</t>
    <rPh sb="61" eb="63">
      <t>ジリツ</t>
    </rPh>
    <phoneticPr fontId="1"/>
  </si>
  <si>
    <t>・既存AIを活用し、産業動向等を踏まえつつ研究ネクストステップの仮説や産学連携の案を提示するシステムを開発
・材料設計において、実験前の段階で筋の良い材料探索をAIで実施​</t>
    <phoneticPr fontId="1"/>
  </si>
  <si>
    <t>高度データ解析・モデリング</t>
  </si>
  <si>
    <t>既存のAIを利用(※)が主で、（シミュレーション・デジタルツインに該当するもの以外で）データ分析・予測の高度化をはかる研究が広く該当（ただし、自ら一連のモデル構築を行う研究は「AIモデル開発」に該当）</t>
    <phoneticPr fontId="1"/>
  </si>
  <si>
    <t>・SNSのデータをリアルタイムにAIにより分析し、社会情勢を可視化
・地震発生の長期予測モデルに必要なパラメータを、AIを活用し推定</t>
    <phoneticPr fontId="1"/>
  </si>
  <si>
    <t>その他</t>
  </si>
  <si>
    <t>主として理論的な研究や、「Science for AI」に近い研究、また、AIに関するメタサイエンス等、上記に当てはまらないユースケースや研究等 (※可能な限り、上記の分類からご選択ください)</t>
  </si>
  <si>
    <t>・AIを科学研究に導入することそのものへの、社会的インパクトの分析
・非平衡統計力学の知見を用いてAIの新たなアーキテクチャを理論的に検討</t>
    <phoneticPr fontId="1"/>
  </si>
  <si>
    <t>(※) 既存のAIを利用 : ChatGPT等の既存モデルをサービスあるいはAPI経由で利用したり、SaaS・AutoML系のサービス等を利用することを指す​</t>
  </si>
  <si>
    <t>【府省共通経費取扱区分表について】</t>
    <phoneticPr fontId="1"/>
  </si>
  <si>
    <t>１．総論
(1)府省共通経費取扱区分表（以下、「区分表」という。）は、各競争的研究費制度において共通して使用するものであり、以下にその解釈及び運用について確認する。
(2)各制度は、区分表及び本取扱に基づきあらかじめ費目構成を設定し、経費の取扱を明確に示す。
２．費目の設定について
(1)各制度は、区分表に記載された費目の名称を用いるものとする。
(2)経費の種類は、「直接経費」「間接経費」「再委託費・共同実施費」の３種類とする。
(3)「直接経費」には、「大項目」を設け、大項目にはさらに「中項目」を設ける。
(4)「直接経費」の大項目は、「物品費」「人件費・謝金」「旅費」「その他」の４項目に統一する。
(5)中項目は、以下に統一する。
　・大項目「物品費」の中項目に「設備備品費」「消耗品費」を設定する。
　・大項目「人件費・謝金」の中項目に「人件費」「謝金」を設定する。
　・大項目「旅費」には中項目に「旅費」を設定する。
　・大項目「その他」の中項目に「外注費」「印刷製本費」「会議費」「通信運搬費」「光熱水料」「その他（諸経費）」「消費税相当額」を設定する。
(6)実績報告等は大項目単位によることを原則とし、必要に応じて中項目のうち額の報告を求めるものについては、配分機関は当該区分表の「中項目の設定・取扱等」欄に明記する。また、中項目自体を設定しない場合は、同様に「中項目の設定・取扱等」欄に明記することとする。
３．費目の解釈について
(1)直接経費の各費目、間接経費及び再委託費・共同実施費の解釈を統一するために、区分表に解説（太字下線部分）を記載した。
(2)直接経費の各費目については、研究者等が混乱なく研究費を使用できるように、各制度において共通的なものとして、具体的な支出の例示を区分表に記載した。
４．各制度における区分表の運用について
(1)各制度における事業の性質等により、「中項目の具体的な支出の例示」欄で示した経費のうち、当該中項目の経費とすることが適当でない場合、また、支出にあたり一定の条件を付す場合などには、区分表の「特記事項」欄で明示することとする。
(2)中項目の「設備備品費」「消耗品費」「消費税相当額」は、制度の種類により適用を異にするものであるので、各制度においては、これらの取扱について、区分表の「特記事項」欄で記述することとする。なお委託費における「設備備品費」「消耗品費」の定義は、「中項目の具体的な支出の例示」欄に明瞭に記載することとする。
(3)上記(1)及び(2)により制度としての調整を施された区分表は、例えば各制度のホームページに掲載することなどにより、公開を進めることとする。
(4)区分表は各制度共通に使用するものではあるが、主に企業への資金配分を行っている制度であって、会計処理や経費区分が本区分表と異なる運用をしている研究機関の負担に配慮し、それぞれの研究機関により適切な経費管理が可能となるよう、配分機関は本区分表を参考に費目を設定できることとする。</t>
  </si>
  <si>
    <t>【費用詳細（API費用・計算資源費用）の記載について】</t>
  </si>
  <si>
    <t>本欄には、AIの利用に伴う費用の内訳について、項目ごとに整理して記載してください。複数の用途がある場合や、複数種類のGPU等を利用する場合は、用途やGPU等の種類ごとに分けて記載してください。
＜各項目の記載内容　API費用＞
従量課金制のAPI費用については、下記の例を参照して記載してください。なお、従量課金制かどうかにかかわらず、データ取得・照会・連携のためにAPIを利用した場合等についても、適宜記載してください。
■処理対象
処理対象となるデータを記載してください。（例）文献、実験ログ、画像、動画、音声データ
■金額
当該用途に係る費用の合計額を記載してください（千円単位）。
■算定根拠
API費用の見積もり根拠を具体的に記載してください。（含めてほしい観点の例）データ処理に係る量や頻度、再実行率等
＜各項目の記載内容　計算資源費用 (クラウドGPU含む)＞
GPU搭載機器等をオンプレミスで購入するなど、計算資源を物品として取得する場合であって、備品として管理すべきものに該当するときは、「その他（計算資源費用 (クラウドGPU含む)）」ではなく、「設備備品費」に計上してください。
「計算資源費用 (クラウドGPU含む)」とは、物品の購入を伴わない民間クラウドサービスの利用料、GPU搭載機器のリース料・レンタル料等を想定しています。
■GPU種類
利用を想定している計算資源（GPU等）の種類を記載してください。（例）NVIDIA社のA100、V100 等
■当該GPUを選定した理由
利用目的や性能要件等、当該GPUを選定した理由について、簡潔に記載してください。（含めてほしい観点の例）当該研究に求められる処理速度や処理対象となるデータ等
■金額
当該用途に係る費用の合計額を記載してください（千円単位）。
■算定根拠
計算資源（クラウド）の利用料金の見積もり根拠を具体的に記載してください。（含めてほしい観点の例）データ処理に係る量や頻度</t>
  </si>
  <si>
    <t>府省共通経費取扱区分表</t>
  </si>
  <si>
    <t>制度・事業名：
AI for Science萌芽的挑戦研究創出事業（SPReAD）</t>
  </si>
  <si>
    <t>　</t>
  </si>
  <si>
    <t>大項目</t>
  </si>
  <si>
    <t>中項目</t>
  </si>
  <si>
    <t>中項目の具体的な支出の例示</t>
  </si>
  <si>
    <t>中項目の設定・
取扱等</t>
  </si>
  <si>
    <t>特記事項</t>
  </si>
  <si>
    <t>直接経費</t>
  </si>
  <si>
    <t>物品費</t>
  </si>
  <si>
    <t>設備備品費</t>
  </si>
  <si>
    <t>業務・事業の実施に必要な機械装置、工具器具備品等の購入、製造又はその据付等に要する経費。装置等の改造（主として機能を高め、又は耐久性を増すための資本的支出）及びソフトウエア（機器・設備類に組み込まれ、又は付属し、一体として機能するもの）を含む。</t>
  </si>
  <si>
    <t>GPU搭載サーバ、ワークステーション、研究用ストレージ装置その他これらに類する計算機器を物品として取得する場合であって、備品として管理すべきものは、「設備備品費」に計上してください。</t>
  </si>
  <si>
    <t>消耗品費</t>
  </si>
  <si>
    <r>
      <rPr>
        <b/>
        <u/>
        <sz val="10"/>
        <color rgb="FF000000"/>
        <rFont val="MS UI Gothic"/>
        <family val="3"/>
        <charset val="128"/>
      </rPr>
      <t xml:space="preserve">業務・事業の実施に直接要した以下に例示する資材、部品、消耗品等の購入経費。
</t>
    </r>
    <r>
      <rPr>
        <sz val="10"/>
        <color rgb="FF000000"/>
        <rFont val="MS UI Gothic"/>
        <family val="3"/>
        <charset val="128"/>
      </rPr>
      <t>　・ソフトウェア　※バージョンアップを含む
　・図書、書籍　※年間購読料を含む
　・パソコン周辺機器、CD-ROM、DVD-ROM等
　・実験動物、試薬、試薬キット、実験器具類
　・試作品
　等</t>
    </r>
  </si>
  <si>
    <t>安価な周辺機器、記録媒体、交換部材その他計算機器を物品として取得する場合で、消耗品として管理すべきものは「消耗品費」として計上してください。</t>
  </si>
  <si>
    <t>人件費
・謝金</t>
  </si>
  <si>
    <t>人件費</t>
  </si>
  <si>
    <r>
      <t>業務・事業に直接従事した者の人件費で主体的に研究を担当する研究者の経費</t>
    </r>
    <r>
      <rPr>
        <sz val="10"/>
        <rFont val="MS UI Gothic"/>
        <family val="3"/>
        <charset val="128"/>
      </rPr>
      <t xml:space="preserve">
　・研究採択者本人の人件費（有給休暇等を含む）及び法定福利費、通勤費、住宅手当、扶養手当、勤務地手当、委託試験に係る退職手当等
　・ポスドク等、機関で直接雇用する研究員の人件費（有給休暇等を含む）及び法定福利費、通勤費、住宅手当、扶養手当、勤務地手当、委託試験に係る退職手当等
　・特殊機器操作、派遣業者からの派遣研究員の費用
　・他機関からの出向研究員の経費
　等
業務・事業に直接従事した者の人件費で補助作業的に研究等を担当する者の経費
　・リサーチアドミニストレーター、リサーチアシスタント
　・研究補助作業を行うアルバイト、パート、派遣社員
　・技術補佐員、教務補佐員、事務補佐員、秘書
　等
＊人件費の算定にあたっては、研究機関の給与規程等によるものとする。</t>
    </r>
  </si>
  <si>
    <t>本事業において人件費の支出は対象外となります。</t>
  </si>
  <si>
    <t>謝金</t>
  </si>
  <si>
    <r>
      <rPr>
        <b/>
        <u/>
        <sz val="10"/>
        <color rgb="FF000000"/>
        <rFont val="MS UI Gothic"/>
        <family val="3"/>
        <charset val="128"/>
      </rPr>
      <t xml:space="preserve">業務・事業の実施に必要な知識、情報、技術の提供に対する経費
</t>
    </r>
    <r>
      <rPr>
        <sz val="10"/>
        <color rgb="FF000000"/>
        <rFont val="MS UI Gothic"/>
        <family val="3"/>
        <charset val="128"/>
      </rPr>
      <t>　・研究運営委員会等の外部委員に対する委員会出席謝金
　・講演会等の謝金
　・個人の専門的技術による役務の提供への謝金（講義・技術指導・原稿の執筆・査読・校正（外国語等）等）
　・データ・資料整理等の役務の提供への謝金
　・通訳、翻訳の謝金（個人に対する委嘱）
　・学生等への労務による作業代
　・被験者の謝金
　等
＊謝金の算定にあたっては、研究機関の謝金支給規程等によるものとする。</t>
    </r>
  </si>
  <si>
    <t>旅費</t>
  </si>
  <si>
    <r>
      <t>旅費に関わる以下の経費</t>
    </r>
    <r>
      <rPr>
        <sz val="10"/>
        <rFont val="MS UI Gothic"/>
        <family val="3"/>
        <charset val="128"/>
      </rPr>
      <t xml:space="preserve">
①業務・事業を実施するにあたり研究者及び補助員（学部学生・大学院生を含む）の外国・国内への出張又は移動にかかる経費（交通費、宿泊費、日当、旅行雑費）。学会へ参加するための交通費、宿泊費、日当、旅行雑費を含む。
②上記①以外の業務・事業への協力者に支払う、業務・事業の実施に必要な知識、情報、意見等の収集のための外国・国内への出張又は移動にかかる経費（交通費、宿泊費、日当、旅行雑費）
③外国からの研究者等（大学院生を含む）の招へい経費（交通費、宿泊費、日当、滞在費、旅行雑費）
④研究者等が赴帰任する際にかかる経費（交通費、宿泊費、日当、移転費、扶養親族移転費、旅行雑費）
　等
＊旅費の算定にあたっては、研究機関の旅費規程等によるものとする。
＊旅費のキャンセル料（やむを得ない事情からキャンセル料が認められる場合のみ）を含む。
＊「旅行雑費」とは、「空港使用料」「旅券の交付手数料」「査証手数料」「予防注射料」「出入国税の実費額」「燃油サーチャージ」「航空保険料」「航空券取扱手数料」等をいう。</t>
    </r>
  </si>
  <si>
    <t>外注費</t>
  </si>
  <si>
    <r>
      <rPr>
        <b/>
        <u/>
        <sz val="10"/>
        <color rgb="FF000000"/>
        <rFont val="MS UI Gothic"/>
        <family val="3"/>
        <charset val="128"/>
      </rPr>
      <t xml:space="preserve">外注に関わる以下の経費
</t>
    </r>
    <r>
      <rPr>
        <sz val="10"/>
        <color rgb="FF000000"/>
        <rFont val="MS UI Gothic"/>
        <family val="3"/>
        <charset val="128"/>
      </rPr>
      <t>業務・事業に直接必要な装置のメンテナンス、データの分析等の外注にかかる経費
　・機械装置、備品の操作・保守・修理（原則として当事業で購入した備品の法定点検、定期点検及び日常のメンテナンスによる機能の維持管理、原状の回復等を行うことを含む）等の業務請負
　・実験動物等の飼育、設計（仕様を指示して設計されるもの）、試験、解析・検査、鑑定、部材の加工等の業務請負
　・通訳、翻訳、校正（校閲）、アンケート、調査等の業務請負（業者請負）
　等
＊「再委託費・共同実施費」に該当するものを除く</t>
    </r>
  </si>
  <si>
    <t>印刷製本費</t>
  </si>
  <si>
    <r>
      <rPr>
        <b/>
        <u/>
        <sz val="10"/>
        <color rgb="FF000000"/>
        <rFont val="MS UI Gothic"/>
        <family val="3"/>
        <charset val="128"/>
      </rPr>
      <t xml:space="preserve">業務・事業にかかる資料等の印刷、製本に要した経費
</t>
    </r>
    <r>
      <rPr>
        <sz val="10"/>
        <color rgb="FF000000"/>
        <rFont val="MS UI Gothic"/>
        <family val="3"/>
        <charset val="128"/>
      </rPr>
      <t>　・チラシ、ポスター、写真、図面コピー等研究活動に必要な書類作成のための印刷代
等</t>
    </r>
  </si>
  <si>
    <t>会議費</t>
  </si>
  <si>
    <r>
      <rPr>
        <b/>
        <u/>
        <sz val="10"/>
        <color rgb="FF000000"/>
        <rFont val="MS UI Gothic"/>
        <family val="3"/>
        <charset val="128"/>
      </rPr>
      <t xml:space="preserve">業務・事業の実施に直接必要な会議・シンポジウム・セミナー等の開催に要した経費
</t>
    </r>
    <r>
      <rPr>
        <sz val="10"/>
        <color rgb="FF000000"/>
        <rFont val="MS UI Gothic"/>
        <family val="3"/>
        <charset val="128"/>
      </rPr>
      <t>　・研究運営委員会等の委員会開催費
　・会場借料
　・国際会議の通訳料
　・会議等に伴う飲食代・レセプション代（アルコール類は除く）
　等</t>
    </r>
  </si>
  <si>
    <t>通信運搬費</t>
  </si>
  <si>
    <r>
      <rPr>
        <b/>
        <u/>
        <sz val="10"/>
        <color rgb="FF000000"/>
        <rFont val="MS UI Gothic"/>
        <family val="3"/>
        <charset val="128"/>
      </rPr>
      <t xml:space="preserve">業務・事業の実施に直接必要な物品の運搬、データの送受信等の通信・電話料
</t>
    </r>
    <r>
      <rPr>
        <sz val="10"/>
        <color rgb="FF000000"/>
        <rFont val="MS UI Gothic"/>
        <family val="3"/>
        <charset val="128"/>
      </rPr>
      <t>　・電話料、ファクシミリ料
　・インターネット使用料
　・宅配便代
　・郵便料
　等</t>
    </r>
  </si>
  <si>
    <t>光熱水料</t>
  </si>
  <si>
    <t>業務・事業の実施に使用する機械装置等の運転等に要した電気、ガス及び水道等の経費</t>
  </si>
  <si>
    <t>その他
（諸経費）</t>
  </si>
  <si>
    <r>
      <rPr>
        <b/>
        <u/>
        <sz val="10"/>
        <color rgb="FF000000"/>
        <rFont val="MS UI Gothic"/>
        <family val="3"/>
        <charset val="128"/>
      </rPr>
      <t xml:space="preserve">上記の各項目以外に、業務・事業の実施に直接必要な経費
</t>
    </r>
    <r>
      <rPr>
        <sz val="10"/>
        <color rgb="FF000000"/>
        <rFont val="MS UI Gothic"/>
        <family val="3"/>
        <charset val="128"/>
      </rPr>
      <t>　・物品等の借損（賃借、リース、レンタル）及び使用にかかる経費、倉庫料、土地・建物借上料、圃場借料
　・研究機関内の施設・設備使用料
　・学会参加費（学会参加費と不可分なランチ代・バンケット代を含む。学会に参加するための旅費は『旅費』に計上）
　・学会参加費等のキャンセル料（やむを得ない事情からキャンセル料が認められる場合のみ）
　・研究成果発表費（論文審査料・論文投稿料（論文掲載料）・論文別刷り代、成果報告書作成・製本費、テキスト作成・出版費、ホームページ作成費等）
　・広報費（ホームページ・ニュースレター等）、広告宣伝費、求人費
　・保険料（業務・事業に必要なもの）
　・振込手数料
　・データ・権利等使用料（特許使用料、ライセンス料（ソフトウェアのライセンス使用料を含む）、データベース使用料、クラウド利用料等）　
　・特許関連経費
　・薬事相談費
　・薬品・廃材等処理代
　・書籍等のマイクロフィルム化・データ化
　・レンタカー代、タクシー代（旅費規程により『旅費』に計上するものを除く）
　・研究以外の業務の代行に係る経費（バイアウト経費）
　等</t>
    </r>
  </si>
  <si>
    <r>
      <rPr>
        <sz val="10"/>
        <color rgb="FFFF0000"/>
        <rFont val="AR P丸ゴシック体M"/>
        <family val="3"/>
        <charset val="128"/>
      </rPr>
      <t>APIを利用するために要する経費（例：従量課金制によるAPI利用料、AIモデルその他の解析用APIの利用料、データ取得・照会・連携のために利用するAPIの利用料、データベース又は外部プラットフォームにAPIを通じてアクセスするための利用料等）は、</t>
    </r>
    <r>
      <rPr>
        <b/>
        <u/>
        <sz val="10"/>
        <color rgb="FFFF0000"/>
        <rFont val="AR P丸ゴシック体M"/>
        <family val="3"/>
        <charset val="128"/>
      </rPr>
      <t>研究計画調書_4枚目の「その他（API費用）」として計上</t>
    </r>
    <r>
      <rPr>
        <sz val="10"/>
        <color rgb="FFFF0000"/>
        <rFont val="AR P丸ゴシック体M"/>
        <family val="3"/>
        <charset val="128"/>
      </rPr>
      <t>してください。
また、計算資源の調達・利用において、利用・賃借・使用に係る経費（例：民間クラウドサービスの利用料、GPU搭載機器のリース料・レンタル料、研究機関内のHPCやGPUクラスター等の利用料、ソフトウェアライセンス料・サブスクリプション料等）は、</t>
    </r>
    <r>
      <rPr>
        <b/>
        <u/>
        <sz val="10"/>
        <color rgb="FFFF0000"/>
        <rFont val="AR P丸ゴシック体M"/>
        <family val="3"/>
        <charset val="128"/>
      </rPr>
      <t>研究計画調書_4枚目の「その他（計算資源費用(クラウドGPU含む)）」として計上</t>
    </r>
    <r>
      <rPr>
        <sz val="10"/>
        <color rgb="FFFF0000"/>
        <rFont val="AR P丸ゴシック体M"/>
        <family val="3"/>
        <charset val="128"/>
      </rPr>
      <t>してください。
なお、いずれも物品の取得を伴わない利用料等を想定しており、物品として取得する場合は、その性質に応じて「設備備品費」又は「消耗品費」として計上してください。</t>
    </r>
  </si>
  <si>
    <t xml:space="preserve">
その他（諸経費）として、AI for Scienceの波及・振興に資する次世代を担う理工系分野の人材育成の促進に係る経費の支出を可能としております。
・理数系の博士号取得者等によるオンラインでの小・中・高等学校における理科、物理、化学等の授業や出前講座に係る費用
・研究成果を中高生等が理解しやすいコンテンツとして SNS 等で配信するための費用
なお、本事業において「研究以外の業務の代行に係る経費（バイアウト経費）」の支出については対象外となります。</t>
  </si>
  <si>
    <t>消費税相当額
（委託費のみ）</t>
  </si>
  <si>
    <r>
      <t>「人件費のうち通勤手当を除いた額」、「外国旅費・外国人等招へい旅費のうち支度料や国内分の旅費を除いた額」、「諸謝金」及び「保険料」の</t>
    </r>
    <r>
      <rPr>
        <b/>
        <u/>
        <sz val="10"/>
        <color rgb="FF000000"/>
        <rFont val="MS UI Gothic"/>
        <family val="3"/>
        <charset val="128"/>
      </rPr>
      <t>１０</t>
    </r>
    <r>
      <rPr>
        <b/>
        <u/>
        <sz val="10"/>
        <rFont val="MS UI Gothic"/>
        <family val="3"/>
        <charset val="128"/>
      </rPr>
      <t>％に相当する額等、消費税に関して非（不）課税取引となる経費</t>
    </r>
  </si>
  <si>
    <t>本事業は補助事業ですので、本事項は対象外です。</t>
  </si>
  <si>
    <t>間接経費</t>
    <rPh sb="0" eb="2">
      <t>カンセツ</t>
    </rPh>
    <rPh sb="2" eb="4">
      <t>ケイヒ</t>
    </rPh>
    <phoneticPr fontId="1"/>
  </si>
  <si>
    <r>
      <t>直接経費に対して一定比率で手当され、</t>
    </r>
    <r>
      <rPr>
        <b/>
        <u/>
        <sz val="10"/>
        <color indexed="8"/>
        <rFont val="MS UI Gothic"/>
        <family val="3"/>
        <charset val="128"/>
      </rPr>
      <t>競争的研究費</t>
    </r>
    <r>
      <rPr>
        <b/>
        <u/>
        <sz val="10"/>
        <rFont val="MS UI Gothic"/>
        <family val="3"/>
        <charset val="128"/>
      </rPr>
      <t>による研究の実施に伴う研究機関の管理等に必要な経費として、被配分機関が使用する経費。</t>
    </r>
    <rPh sb="21" eb="23">
      <t>ケンキュウ</t>
    </rPh>
    <rPh sb="23" eb="24">
      <t>ヒ</t>
    </rPh>
    <phoneticPr fontId="1"/>
  </si>
  <si>
    <t>再委託費・共同実施費</t>
    <rPh sb="0" eb="3">
      <t>サイイタク</t>
    </rPh>
    <rPh sb="3" eb="4">
      <t>ヒ</t>
    </rPh>
    <rPh sb="5" eb="7">
      <t>キョウドウ</t>
    </rPh>
    <rPh sb="7" eb="9">
      <t>ジッシ</t>
    </rPh>
    <rPh sb="9" eb="10">
      <t>ヒ</t>
    </rPh>
    <phoneticPr fontId="1"/>
  </si>
  <si>
    <t>委託先が委託業務の一部をさらに第三者に委託又は第三者と共同で実施するための経費（間接経費相当分を含む）</t>
    <rPh sb="40" eb="42">
      <t>カンセツ</t>
    </rPh>
    <rPh sb="42" eb="44">
      <t>ケイヒ</t>
    </rPh>
    <rPh sb="44" eb="47">
      <t>ソウトウブン</t>
    </rPh>
    <rPh sb="48" eb="49">
      <t>フク</t>
    </rPh>
    <phoneticPr fontId="1"/>
  </si>
  <si>
    <t>機関番号</t>
    <phoneticPr fontId="1"/>
  </si>
  <si>
    <t>整理番号</t>
  </si>
  <si>
    <t>←応募者はここは入力しないこと</t>
    <rPh sb="1" eb="4">
      <t>オウボシャ</t>
    </rPh>
    <rPh sb="8" eb="10">
      <t>ニュウリョク</t>
    </rPh>
    <phoneticPr fontId="1"/>
  </si>
  <si>
    <t>令和8年度 AI for Science萌芽的挑戦研究創出事業（SPReAD）研究計画調書</t>
  </si>
  <si>
    <t>令和8年XX月XX日</t>
    <phoneticPr fontId="1"/>
  </si>
  <si>
    <t>←日付は半角数字でご記載ください</t>
    <rPh sb="1" eb="3">
      <t>ヒヅケ</t>
    </rPh>
    <rPh sb="4" eb="8">
      <t>ハンカクスウジ</t>
    </rPh>
    <rPh sb="10" eb="12">
      <t>キサイ</t>
    </rPh>
    <phoneticPr fontId="1"/>
  </si>
  <si>
    <r>
      <rPr>
        <b/>
        <sz val="10"/>
        <color rgb="FF000000"/>
        <rFont val="ＭＳ Ｐゴシック"/>
        <family val="3"/>
        <charset val="128"/>
      </rPr>
      <t xml:space="preserve">メールアドレス(半角英数字)
</t>
    </r>
    <r>
      <rPr>
        <b/>
        <sz val="8"/>
        <color rgb="FF000000"/>
        <rFont val="ＭＳ Ｐゴシック"/>
        <family val="3"/>
        <charset val="128"/>
      </rPr>
      <t>※必ず、所属機関から発行されている研究代表者本人のメールアドレスをご使用ください。</t>
    </r>
    <r>
      <rPr>
        <b/>
        <sz val="8"/>
        <color rgb="FFFF0000"/>
        <rFont val="ＭＳ Ｐゴシック"/>
        <family val="3"/>
        <charset val="128"/>
      </rPr>
      <t>なお、こちらに記載するメールアドレスは、AIインタビュー実施時に登録するメールアドレスと必ず一致させてください。</t>
    </r>
    <r>
      <rPr>
        <b/>
        <sz val="8"/>
        <color rgb="FF000000"/>
        <rFont val="ＭＳ Ｐゴシック"/>
        <family val="3"/>
        <charset val="128"/>
      </rPr>
      <t>一致しない場合、応募を受理しません。</t>
    </r>
    <phoneticPr fontId="1"/>
  </si>
  <si>
    <r>
      <t xml:space="preserve">研究代表者氏名
</t>
    </r>
    <r>
      <rPr>
        <b/>
        <sz val="8"/>
        <rFont val="ＭＳ Ｐゴシック"/>
        <family val="3"/>
        <charset val="128"/>
      </rPr>
      <t>※姓と名は全角で1スペース空ける</t>
    </r>
    <rPh sb="13" eb="15">
      <t>ゼンカク</t>
    </rPh>
    <rPh sb="21" eb="22">
      <t>ア</t>
    </rPh>
    <phoneticPr fontId="1"/>
  </si>
  <si>
    <t>(フリガナ)　</t>
    <phoneticPr fontId="5"/>
  </si>
  <si>
    <t>(漢字等)</t>
    <phoneticPr fontId="5"/>
  </si>
  <si>
    <t>生年月日 (西暦、半角数字)</t>
    <rPh sb="6" eb="8">
      <t>セイレキ</t>
    </rPh>
    <phoneticPr fontId="1"/>
  </si>
  <si>
    <r>
      <t xml:space="preserve">e-Rad所属機関コード(半角数字)
</t>
    </r>
    <r>
      <rPr>
        <b/>
        <sz val="8"/>
        <rFont val="ＭＳ Ｐゴシック"/>
        <family val="3"/>
        <charset val="128"/>
      </rPr>
      <t>※ご不明な場合は、e-Rad上ないしは所属機関にご確認ください。</t>
    </r>
    <rPh sb="21" eb="23">
      <t>フメイ</t>
    </rPh>
    <rPh sb="24" eb="26">
      <t>バアイ</t>
    </rPh>
    <rPh sb="33" eb="34">
      <t>ジョウ</t>
    </rPh>
    <rPh sb="38" eb="42">
      <t>ショゾクキカン</t>
    </rPh>
    <rPh sb="44" eb="46">
      <t>カクニン</t>
    </rPh>
    <phoneticPr fontId="5"/>
  </si>
  <si>
    <t>所属機関</t>
    <phoneticPr fontId="5"/>
  </si>
  <si>
    <t>部局</t>
    <rPh sb="0" eb="2">
      <t>ブキョク</t>
    </rPh>
    <phoneticPr fontId="5"/>
  </si>
  <si>
    <t>職</t>
    <rPh sb="0" eb="1">
      <t>ショク</t>
    </rPh>
    <phoneticPr fontId="5"/>
  </si>
  <si>
    <t>区分</t>
    <rPh sb="0" eb="2">
      <t>クブン</t>
    </rPh>
    <phoneticPr fontId="5"/>
  </si>
  <si>
    <t>文字数カウント　※編集しないでください</t>
    <rPh sb="0" eb="3">
      <t>モジスウ</t>
    </rPh>
    <rPh sb="9" eb="11">
      <t>ヘンシュウ</t>
    </rPh>
    <phoneticPr fontId="5"/>
  </si>
  <si>
    <r>
      <rPr>
        <b/>
        <sz val="10"/>
        <color rgb="FF000000"/>
        <rFont val="ＭＳ Ｐゴシック"/>
        <family val="3"/>
        <charset val="128"/>
      </rPr>
      <t xml:space="preserve">研究領域
</t>
    </r>
    <r>
      <rPr>
        <b/>
        <sz val="8"/>
        <color rgb="FF000000"/>
        <rFont val="ＭＳ Ｐゴシック"/>
        <family val="3"/>
        <charset val="128"/>
      </rPr>
      <t>※「留意事項」タブを参照し、最も近しいものをご選択ください。</t>
    </r>
  </si>
  <si>
    <t>日本語</t>
    <rPh sb="0" eb="3">
      <t>ニホンゴ</t>
    </rPh>
    <phoneticPr fontId="1"/>
  </si>
  <si>
    <t>English</t>
    <phoneticPr fontId="1"/>
  </si>
  <si>
    <r>
      <rPr>
        <b/>
        <sz val="10"/>
        <color rgb="FF000000"/>
        <rFont val="ＭＳ Ｐゴシック"/>
        <family val="3"/>
        <charset val="128"/>
      </rPr>
      <t xml:space="preserve">メインユースケース分類
</t>
    </r>
    <r>
      <rPr>
        <b/>
        <sz val="8"/>
        <color rgb="FF000000"/>
        <rFont val="ＭＳ Ｐゴシック"/>
        <family val="3"/>
        <charset val="128"/>
      </rPr>
      <t>※「留意事項」タブを参照し、最も達成したいユースケースを1つご選択ください。特にAIの開発を伴う研究計画については、該当する分類から選択するようにし、「その他」は、既存の分類のいずれも明確に該当しない場合に限り選択してください。
例)AIの導入又は利活用が科学研究に及ぼす影響に関する研究計画 等</t>
    </r>
  </si>
  <si>
    <r>
      <t xml:space="preserve">「その他」を選択した場合
</t>
    </r>
    <r>
      <rPr>
        <b/>
        <sz val="8"/>
        <rFont val="ＭＳ Ｐゴシック"/>
        <family val="3"/>
        <charset val="128"/>
      </rPr>
      <t>※自由記述</t>
    </r>
    <rPh sb="3" eb="4">
      <t>ホカ</t>
    </rPh>
    <rPh sb="6" eb="8">
      <t>センタク</t>
    </rPh>
    <rPh sb="10" eb="12">
      <t>バアイ</t>
    </rPh>
    <rPh sb="14" eb="18">
      <t>ジユウキジュツ</t>
    </rPh>
    <phoneticPr fontId="1"/>
  </si>
  <si>
    <r>
      <rPr>
        <b/>
        <sz val="10"/>
        <color rgb="FF000000"/>
        <rFont val="ＭＳ Ｐゴシック"/>
        <family val="3"/>
        <charset val="128"/>
      </rPr>
      <t xml:space="preserve">サブユースケース選択
</t>
    </r>
    <r>
      <rPr>
        <b/>
        <sz val="8"/>
        <color rgb="FF000000"/>
        <rFont val="ＭＳ Ｐゴシック"/>
        <family val="3"/>
        <charset val="128"/>
      </rPr>
      <t>※「留意事項」タブを参照し、メインユースケースを達成するための補助目的として該当するものすべてをご選択ください</t>
    </r>
  </si>
  <si>
    <t>1.学習用データセット
構築</t>
    <phoneticPr fontId="5"/>
  </si>
  <si>
    <t>2.既存モデルの適応</t>
    <rPh sb="2" eb="4">
      <t>キゾン</t>
    </rPh>
    <rPh sb="8" eb="10">
      <t>テキオウ</t>
    </rPh>
    <phoneticPr fontId="5"/>
  </si>
  <si>
    <t>3.AIモデル開発</t>
    <rPh sb="7" eb="9">
      <t>カイハツ</t>
    </rPh>
    <phoneticPr fontId="5"/>
  </si>
  <si>
    <t>4.既存モデル評価</t>
    <rPh sb="2" eb="4">
      <t>キゾン</t>
    </rPh>
    <rPh sb="7" eb="9">
      <t>ヒョウカ</t>
    </rPh>
    <phoneticPr fontId="5"/>
  </si>
  <si>
    <t>5.実験自動化・
自律化</t>
  </si>
  <si>
    <t>6.シミュレーション・
デジタルツイン</t>
    <phoneticPr fontId="5"/>
  </si>
  <si>
    <t>7.発見・設計支援</t>
    <rPh sb="2" eb="4">
      <t>ハッケン</t>
    </rPh>
    <rPh sb="5" eb="7">
      <t>セッケイ</t>
    </rPh>
    <rPh sb="7" eb="9">
      <t>シエン</t>
    </rPh>
    <phoneticPr fontId="5"/>
  </si>
  <si>
    <t>8.高度データ解析・
モデリング</t>
    <rPh sb="2" eb="4">
      <t>コウド</t>
    </rPh>
    <rPh sb="7" eb="9">
      <t>カイセキ</t>
    </rPh>
    <phoneticPr fontId="5"/>
  </si>
  <si>
    <r>
      <rPr>
        <b/>
        <sz val="10"/>
        <color rgb="FF000000"/>
        <rFont val="ＭＳ Ｐゴシック"/>
        <family val="3"/>
        <charset val="128"/>
      </rPr>
      <t>研究課題名</t>
    </r>
    <r>
      <rPr>
        <b/>
        <sz val="10"/>
        <color rgb="FFFF0000"/>
        <rFont val="ＭＳ Ｐゴシック"/>
        <family val="3"/>
        <charset val="128"/>
      </rPr>
      <t>(日本語：50文字程度,English：around 30 words)</t>
    </r>
  </si>
  <si>
    <r>
      <rPr>
        <b/>
        <sz val="10"/>
        <color rgb="FF000000"/>
        <rFont val="ＭＳ Ｐゴシック"/>
        <family val="3"/>
        <charset val="128"/>
      </rPr>
      <t xml:space="preserve">研究での現在の
AI利活用度合い
</t>
    </r>
    <r>
      <rPr>
        <b/>
        <sz val="8"/>
        <color rgb="FF000000"/>
        <rFont val="ＭＳ Ｐゴシック"/>
        <family val="3"/>
        <charset val="128"/>
      </rPr>
      <t>(複数選択可)
※直接的に採択可否には影響しません</t>
    </r>
  </si>
  <si>
    <t>研究でAIをまったく使っていない</t>
  </si>
  <si>
    <t>研究そのもの以外の業務（メール・翻訳等）でAIを使っている</t>
  </si>
  <si>
    <t>研究における文献探索や要約にAIを使っている</t>
  </si>
  <si>
    <t>論文執筆や研究発表資料作成にAIを使っている</t>
  </si>
  <si>
    <t>仮説検討やアイデア出しにAIを使っている</t>
  </si>
  <si>
    <t>研究データをAI (含: 自ら作成した深層学習コード 等) で分析・処理をしたことがある</t>
  </si>
  <si>
    <t>AIや深層学習による分析結果を、論文・発表などにおいて研究成果として発表したことがある</t>
  </si>
  <si>
    <t>APIにより既存AIを研究プロセスに組み込んでいる</t>
  </si>
  <si>
    <t>自分でAI・深層学習モデルの開発 (学習・評価の一連のプロセス全てを含む)を行い、研究に活用したことがある</t>
  </si>
  <si>
    <t>新しい基盤モデル開発の経験がある</t>
  </si>
  <si>
    <r>
      <rPr>
        <b/>
        <sz val="10"/>
        <color rgb="FF000000"/>
        <rFont val="ＭＳ Ｐゴシック"/>
        <family val="3"/>
        <charset val="128"/>
      </rPr>
      <t>現在の具体的な
活用方法</t>
    </r>
    <r>
      <rPr>
        <b/>
        <sz val="10"/>
        <color rgb="FFFF0000"/>
        <rFont val="ＭＳ Ｐゴシック"/>
        <family val="3"/>
        <charset val="128"/>
      </rPr>
      <t>(200字程度,English：around 120 words)</t>
    </r>
  </si>
  <si>
    <r>
      <rPr>
        <b/>
        <sz val="10"/>
        <color rgb="FF000000"/>
        <rFont val="ＭＳ Ｐゴシック"/>
        <family val="3"/>
        <charset val="128"/>
      </rPr>
      <t xml:space="preserve">研究経費(半角数字)
</t>
    </r>
    <r>
      <rPr>
        <b/>
        <sz val="8"/>
        <color rgb="FF000000"/>
        <rFont val="ＭＳ Ｐゴシック"/>
        <family val="3"/>
        <charset val="128"/>
      </rPr>
      <t xml:space="preserve">※千円未満の端数は切り捨てる
</t>
    </r>
    <r>
      <rPr>
        <b/>
        <sz val="8"/>
        <color rgb="FFFF0000"/>
        <rFont val="ＭＳ Ｐゴシック"/>
        <family val="3"/>
        <charset val="128"/>
      </rPr>
      <t>※本欄は、自動で研究計画調書2枚目の各項目の総計欄が反映されますので編集しないでください</t>
    </r>
  </si>
  <si>
    <t>研究経費(千円)</t>
    <rPh sb="0" eb="4">
      <t>ケンキュウケイヒ</t>
    </rPh>
    <rPh sb="5" eb="7">
      <t>センエン</t>
    </rPh>
    <phoneticPr fontId="5"/>
  </si>
  <si>
    <t>内訳</t>
    <rPh sb="0" eb="2">
      <t>ウチワケ</t>
    </rPh>
    <phoneticPr fontId="5"/>
  </si>
  <si>
    <t>設備備品費</t>
    <rPh sb="0" eb="5">
      <t>セツビビヒンヒ</t>
    </rPh>
    <phoneticPr fontId="5"/>
  </si>
  <si>
    <t>消耗品費</t>
    <rPh sb="0" eb="4">
      <t>ショウモウヒンヒ</t>
    </rPh>
    <phoneticPr fontId="5"/>
  </si>
  <si>
    <t>その他</t>
    <rPh sb="2" eb="3">
      <t>ホカ</t>
    </rPh>
    <phoneticPr fontId="5"/>
  </si>
  <si>
    <t>総計</t>
  </si>
  <si>
    <t>説明は、原則として文章により記述してください。図表を用いた説明が必要な場合には、後段に設ける図表掲載欄において提示してください。なお、色を付した図や文字が使用された研究計画調書はそのまま審査に付されます。</t>
  </si>
  <si>
    <t>文字数カウント　※編集しないでください</t>
    <rPh sb="0" eb="3">
      <t>モジスウ</t>
    </rPh>
    <phoneticPr fontId="5"/>
  </si>
  <si>
    <r>
      <t>研究目的</t>
    </r>
    <r>
      <rPr>
        <b/>
        <sz val="10"/>
        <color rgb="FFFF0000"/>
        <rFont val="ＭＳ Ｐゴシック"/>
        <family val="3"/>
        <charset val="128"/>
      </rPr>
      <t>(日本語：80文字以上400文字以内,English：48～240 words)</t>
    </r>
    <r>
      <rPr>
        <b/>
        <sz val="10"/>
        <color rgb="FF000000"/>
        <rFont val="ＭＳ Ｐゴシック"/>
        <family val="3"/>
        <charset val="128"/>
      </rPr>
      <t xml:space="preserve">
※研究課題の内容及びその目的について、何のためにどのような研究を行うのかを具体的に記載してください。対象とする現象・課題、解決しようとする問題、得ようとする知見等を明確に示してください。</t>
    </r>
    <phoneticPr fontId="5"/>
  </si>
  <si>
    <r>
      <t>研究方法</t>
    </r>
    <r>
      <rPr>
        <b/>
        <sz val="10"/>
        <color rgb="FFFF0000"/>
        <rFont val="ＭＳ Ｐゴシック"/>
        <family val="3"/>
        <charset val="128"/>
      </rPr>
      <t>(日本語：160文字以上800文字以内,English：96～480 words)</t>
    </r>
    <r>
      <rPr>
        <b/>
        <sz val="10"/>
        <color rgb="FF000000"/>
        <rFont val="ＭＳ Ｐゴシック"/>
        <family val="3"/>
        <charset val="128"/>
      </rPr>
      <t xml:space="preserve">
※研究目的を達成するための具体的な方法を記載してください。研究プロセスを工程ごとに整理し、それぞれの工程においてAIをどのように適用又は開発するかを明確に示してください。また、使用するデータの種類・取得方法、評価指標及び検証方法についても可能な限り具体的に記載してください。</t>
    </r>
    <rPh sb="0" eb="4">
      <t>ケンキュウホウホウ</t>
    </rPh>
    <rPh sb="5" eb="8">
      <t>ニホンゴ</t>
    </rPh>
    <phoneticPr fontId="5"/>
  </si>
  <si>
    <r>
      <rPr>
        <b/>
        <sz val="10"/>
        <color rgb="FF000000"/>
        <rFont val="ＭＳ Ｐゴシック"/>
        <family val="3"/>
        <charset val="128"/>
      </rPr>
      <t>AI利活用の妥当性・実現可能性</t>
    </r>
    <r>
      <rPr>
        <b/>
        <sz val="10"/>
        <color rgb="FFFF0000"/>
        <rFont val="ＭＳ Ｐゴシック"/>
        <family val="3"/>
        <charset val="128"/>
      </rPr>
      <t xml:space="preserve">(日本語：160字以上800文字以内,English：96～480 words)
</t>
    </r>
    <r>
      <rPr>
        <b/>
        <sz val="10"/>
        <color rgb="FF000000"/>
        <rFont val="ＭＳ Ｐゴシック"/>
        <family val="3"/>
        <charset val="128"/>
      </rPr>
      <t>※当該研究課題においてAIを利活用する必要性及び妥当性について記載してください。従来手法では対応が困難である点や、AIを利活用することで実現可能となる事項を具体的に示し、当該研究におけるAI利活用の意義が明確となるようにしてください。</t>
    </r>
  </si>
  <si>
    <r>
      <t>達成目標</t>
    </r>
    <r>
      <rPr>
        <b/>
        <sz val="10"/>
        <color rgb="FFFF0000"/>
        <rFont val="ＭＳ Ｐゴシック"/>
        <family val="3"/>
        <charset val="128"/>
      </rPr>
      <t>(日本語：100文字以上500文字以内,English：60～300 words)</t>
    </r>
    <r>
      <rPr>
        <b/>
        <sz val="10"/>
        <color rgb="FF000000"/>
        <rFont val="ＭＳ Ｐゴシック"/>
        <family val="3"/>
        <charset val="128"/>
      </rPr>
      <t xml:space="preserve">
※研究実施期間（約180日）において達成を目指す事項を具体的に記載してください。中間（3か月後）及び最終（6か月後）における到達目標や成果物を明確に区分し、試作、PoC、予備的検証等を含め、研究がどのように前進するのか、またそのための具体的な計画が分かるように記載してください。</t>
    </r>
    <rPh sb="113" eb="116">
      <t>セイカブツ</t>
    </rPh>
    <rPh sb="163" eb="166">
      <t>グタイテキ</t>
    </rPh>
    <rPh sb="167" eb="169">
      <t>ケイカク</t>
    </rPh>
    <phoneticPr fontId="5"/>
  </si>
  <si>
    <r>
      <t>AI利活用のノウハウ抽出・共有の実現計画</t>
    </r>
    <r>
      <rPr>
        <b/>
        <sz val="10"/>
        <color rgb="FFFF0000"/>
        <rFont val="ＭＳ Ｐゴシック"/>
        <family val="3"/>
        <charset val="128"/>
      </rPr>
      <t>(日本語：60文字以上300文字以内,English：36～180 words)</t>
    </r>
    <r>
      <rPr>
        <b/>
        <sz val="10"/>
        <color rgb="FF000000"/>
        <rFont val="ＭＳ Ｐゴシック"/>
        <family val="3"/>
        <charset val="128"/>
      </rPr>
      <t xml:space="preserve">
※本事業では、AI for Scienceの知見を共有するコミュニティ形成を行います。本研究を通じて得られるAI利活用の知見について、どのように整理・抽出し、当該コミュニティにおいて、共有・展開するかを記載してください。各工程における利活用方法や課題を体系的に整理し、他の研究分野においても利活用可能な形での共有を意識して記載してください。</t>
    </r>
    <phoneticPr fontId="1"/>
  </si>
  <si>
    <r>
      <rPr>
        <b/>
        <sz val="10"/>
        <color rgb="FF000000"/>
        <rFont val="ＭＳ Ｐゴシック"/>
        <family val="3"/>
        <charset val="128"/>
      </rPr>
      <t>参考）図の貼付
※研究内容の理解を促進するため、研究プロセスやAIの適用箇所等を示す図を適宜貼付してください。図は簡潔かつ分かりやすい構成とし、文章では伝わりにくい関係性や流れを補足するものとしてください（</t>
    </r>
    <r>
      <rPr>
        <b/>
        <sz val="10"/>
        <color rgb="FFFF0000"/>
        <rFont val="ＭＳ Ｐゴシック"/>
        <family val="3"/>
        <charset val="128"/>
      </rPr>
      <t>最大1枚</t>
    </r>
    <r>
      <rPr>
        <b/>
        <sz val="10"/>
        <color rgb="FF000000"/>
        <rFont val="ＭＳ Ｐゴシック"/>
        <family val="3"/>
        <charset val="128"/>
      </rPr>
      <t>）。</t>
    </r>
  </si>
  <si>
    <t>これより下は、記入欄が不足した場合、行を追加して記入いただいて問題ございません。
ただし、総計欄は削除しないでください。</t>
  </si>
  <si>
    <t>研究経費とその必要性</t>
  </si>
  <si>
    <t>※研究計画において、「設備備品費」、「旅費」又は「謝金」のいずれかの経費が９０％を超える研究計画の場合及びその他（消耗品費、その他）の費目で特に大きな割合を占める経費がある研究計画の場合には、当該経費の研究遂行上の必要性について、研究計画調書に記載しなければなりません。
※千円未満の端数は切り捨ててください</t>
  </si>
  <si>
    <t>設備備品費の明細</t>
  </si>
  <si>
    <t>消耗品費の明細</t>
    <rPh sb="0" eb="2">
      <t>ショウモウ</t>
    </rPh>
    <phoneticPr fontId="5"/>
  </si>
  <si>
    <t>品名・仕様</t>
  </si>
  <si>
    <t>設置機関</t>
  </si>
  <si>
    <t>数量</t>
    <rPh sb="0" eb="2">
      <t>スウリョウ</t>
    </rPh>
    <phoneticPr fontId="5"/>
  </si>
  <si>
    <t>単価</t>
    <rPh sb="0" eb="2">
      <t>タンカ</t>
    </rPh>
    <phoneticPr fontId="5"/>
  </si>
  <si>
    <t>金額(千円)</t>
    <rPh sb="0" eb="2">
      <t>キンガク</t>
    </rPh>
    <rPh sb="3" eb="5">
      <t>センエン</t>
    </rPh>
    <phoneticPr fontId="5"/>
  </si>
  <si>
    <t>事項</t>
    <rPh sb="0" eb="2">
      <t>ジコウ</t>
    </rPh>
    <phoneticPr fontId="5"/>
  </si>
  <si>
    <t>金額(千円)</t>
  </si>
  <si>
    <t>設備備品費、消耗品費の必要性</t>
    <phoneticPr fontId="1"/>
  </si>
  <si>
    <t>謝金の明細</t>
  </si>
  <si>
    <t>国内旅費の明細</t>
  </si>
  <si>
    <t>外国旅費の明細</t>
  </si>
  <si>
    <t>金額(千円)</t>
    <phoneticPr fontId="5"/>
  </si>
  <si>
    <t>謝金、旅費の必要性</t>
  </si>
  <si>
    <t>その他の必要性</t>
  </si>
  <si>
    <t>※千円未満の端数は切り捨ててください</t>
  </si>
  <si>
    <t>費用詳細 その他(API費用)</t>
    <rPh sb="0" eb="4">
      <t>ヒヨウショウサイ</t>
    </rPh>
    <rPh sb="7" eb="8">
      <t>ホカ</t>
    </rPh>
    <rPh sb="12" eb="14">
      <t>ヒヨウ</t>
    </rPh>
    <phoneticPr fontId="5"/>
  </si>
  <si>
    <t>処理対象</t>
  </si>
  <si>
    <t>金額(千円)</t>
    <rPh sb="0" eb="2">
      <t>キンガク</t>
    </rPh>
    <rPh sb="3" eb="4">
      <t>セン</t>
    </rPh>
    <rPh sb="4" eb="5">
      <t>エン</t>
    </rPh>
    <phoneticPr fontId="1"/>
  </si>
  <si>
    <t>算定根拠（1回あたりの入力量/出力量、反応速度、再実行率等）</t>
  </si>
  <si>
    <t>費用詳細 その他(計算資源費用 (クラウドGPU含む))</t>
  </si>
  <si>
    <t>GPU種類</t>
    <rPh sb="3" eb="5">
      <t>シュルイ</t>
    </rPh>
    <phoneticPr fontId="1"/>
  </si>
  <si>
    <t>当該GPUを選定した理由</t>
  </si>
  <si>
    <t>算定根拠（データ処理に係る量や頻度 等）</t>
  </si>
  <si>
    <t>AIインタビュー実施完了報告書</t>
  </si>
  <si>
    <t>ここは、AIインタビューの完了証跡を貼付いただくページです。
AIインタビューの実施完了後に送付される完了メールのスクリーンショットを貼り付けてください。
その際、スクリーンショット内にご自身（研究代表者本人）のメールアドレスが表示されていることを必ず確認してください。</t>
  </si>
  <si>
    <t>ご自身のメールアドレスが、スクリーンショット内で表示されていますか？表示されていたら、チェックボックスにチェックを入れてください。</t>
  </si>
  <si>
    <t>貼り付け</t>
    <rPh sb="0" eb="1">
      <t>ハ</t>
    </rPh>
    <rPh sb="2" eb="3">
      <t>ツ</t>
    </rPh>
    <phoneticPr fontId="1"/>
  </si>
  <si>
    <t>参考：スクリーンショットのイメージ</t>
    <rPh sb="0" eb="2">
      <t>サンコウ</t>
    </rPh>
    <phoneticPr fontId="1"/>
  </si>
  <si>
    <t>研究領域</t>
    <rPh sb="0" eb="2">
      <t>ケンキュウ</t>
    </rPh>
    <rPh sb="2" eb="4">
      <t>リョウイキ</t>
    </rPh>
    <phoneticPr fontId="5"/>
  </si>
  <si>
    <t>ユースケース分類</t>
    <rPh sb="6" eb="8">
      <t>ブンルイ</t>
    </rPh>
    <phoneticPr fontId="5"/>
  </si>
  <si>
    <t>1.学習用データセット構築</t>
    <phoneticPr fontId="1"/>
  </si>
  <si>
    <t>大学・研究機関等の教員・研究員等</t>
    <phoneticPr fontId="1"/>
  </si>
  <si>
    <t>2.既存モデルの適応</t>
    <phoneticPr fontId="1"/>
  </si>
  <si>
    <t>ポストドクター</t>
  </si>
  <si>
    <t>3.AIモデル開発</t>
    <phoneticPr fontId="1"/>
  </si>
  <si>
    <t>大学院博士課程在籍者</t>
  </si>
  <si>
    <t>4.既存モデル評価</t>
    <phoneticPr fontId="1"/>
  </si>
  <si>
    <t>大学院修士課程在籍者</t>
  </si>
  <si>
    <t>5.実験自動化・自律化</t>
    <phoneticPr fontId="1"/>
  </si>
  <si>
    <t>学部学生</t>
  </si>
  <si>
    <t>電気工学・電子工学・情報科学・コンピューターサイエンス</t>
  </si>
  <si>
    <t>6.シミュレーション・デジタルツイン</t>
    <phoneticPr fontId="1"/>
  </si>
  <si>
    <t>7.発見・設計支援</t>
    <phoneticPr fontId="1"/>
  </si>
  <si>
    <t>民間企業の研究者</t>
  </si>
  <si>
    <t>8.高度データ解析・モデリング</t>
    <phoneticPr fontId="1"/>
  </si>
  <si>
    <t>9.その他</t>
    <rPh sb="4" eb="5">
      <t>ホカ</t>
    </rPh>
    <phoneticPr fontId="1"/>
  </si>
  <si>
    <r>
      <t>e-Rad 研究者番号 (</t>
    </r>
    <r>
      <rPr>
        <b/>
        <sz val="8"/>
        <color rgb="FF000000"/>
        <rFont val="ＭＳ Ｐゴシック"/>
        <family val="3"/>
        <charset val="128"/>
      </rPr>
      <t>8桁の半角数字)
※研究代表者本人が研究者番号を持たない場合は、代理で申請を行う指導教員等の番号をご記載ください</t>
    </r>
    <r>
      <rPr>
        <b/>
        <sz val="10"/>
        <color rgb="FF000000"/>
        <rFont val="ＭＳ Ｐゴシック"/>
        <family val="3"/>
        <charset val="128"/>
      </rPr>
      <t>。</t>
    </r>
    <phoneticPr fontId="1"/>
  </si>
  <si>
    <t>高等専門学校の学生</t>
    <rPh sb="7" eb="9">
      <t>ガクセイ</t>
    </rPh>
    <phoneticPr fontId="1"/>
  </si>
  <si>
    <t>高等専門学校の教員・研究者等</t>
    <rPh sb="7" eb="9">
      <t>キョウイン</t>
    </rPh>
    <rPh sb="10" eb="13">
      <t>ケンキュウシャ</t>
    </rPh>
    <rPh sb="13" eb="14">
      <t>トウ</t>
    </rPh>
    <phoneticPr fontId="1"/>
  </si>
  <si>
    <t>非営利団体等の研究者等</t>
    <rPh sb="5" eb="6">
      <t>トウ</t>
    </rPh>
    <rPh sb="10" eb="11">
      <t>トウ</t>
    </rPh>
    <phoneticPr fontId="1"/>
  </si>
  <si>
    <t>本頁に事項・金額を記載の上で、APIと計算資源(クラウドGPU含む)を使用予定の場合は、事項の詳細を次頁に記入してください。</t>
    <phoneticPr fontId="1"/>
  </si>
  <si>
    <r>
      <t>研究業績等
※当該研究課題に関連して、主要な業績（学術論文・学会発表・著書のいずれか）を合計で</t>
    </r>
    <r>
      <rPr>
        <b/>
        <sz val="10"/>
        <color rgb="FFFF0000"/>
        <rFont val="ＭＳ Ｐゴシック"/>
        <family val="3"/>
        <charset val="128"/>
      </rPr>
      <t>最大5件</t>
    </r>
    <r>
      <rPr>
        <b/>
        <sz val="10"/>
        <color rgb="FF000000"/>
        <rFont val="ＭＳ Ｐゴシック"/>
        <family val="3"/>
        <charset val="128"/>
      </rPr>
      <t>まで、各項目ごとに改行し、箇条書きで記載すること。
学術論文：「題名」「著者（本人に下線）」「雑誌名」「発行年月」を記すこと。「被引用数」を付記してもよいが、その場合、情報源・取得日を明記すること。
学会発表：：「題名」「著者（本人に下線）」「雑誌名」「発行年月」を記すこと。当該学会において受賞等があった場合、その旨を追記してもよい。
著書：「書名」」「著者（本人に下線）」「発行所」「発行年月」を記すこと。「分担項目名」を記してもよい。</t>
    </r>
    <rPh sb="115" eb="116">
      <t>ヒ</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</si>
</sst>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0"/>
  </numFmts>
  <fonts count="47">
    <font>
      <sz val="11"/>
      <color theme="1"/>
      <name val="Meiryo UI"/>
      <family val="2"/>
      <charset val="128"/>
    </font>
    <font>
      <sz val="6"/>
      <name val="Meiryo UI"/>
      <family val="2"/>
      <charset val="128"/>
    </font>
    <font>
      <sz val="10"/>
      <color rgb="FF000000"/>
      <name val="Times New Roman"/>
      <family val="1"/>
    </font>
    <font>
      <b/>
      <sz val="10"/>
      <color rgb="FF000000"/>
      <name val="ＭＳ Ｐゴシック"/>
      <family val="3"/>
      <charset val="128"/>
    </font>
    <font>
      <b/>
      <sz val="10"/>
      <name val="ＭＳ Ｐゴシック"/>
      <family val="3"/>
      <charset val="128"/>
    </font>
    <font>
      <sz val="6"/>
      <name val="ＭＳ Ｐゴシック"/>
      <family val="3"/>
      <charset val="128"/>
    </font>
    <font>
      <sz val="10"/>
      <color rgb="FF000000"/>
      <name val="游ゴシック"/>
      <family val="3"/>
      <charset val="128"/>
      <scheme val="minor"/>
    </font>
    <font>
      <sz val="10"/>
      <color rgb="FF000000"/>
      <name val="ＭＳ Ｐゴシック"/>
      <family val="3"/>
      <charset val="128"/>
    </font>
    <font>
      <sz val="10"/>
      <name val="ＭＳ Ｐゴシック"/>
      <family val="3"/>
      <charset val="128"/>
    </font>
    <font>
      <b/>
      <sz val="10"/>
      <color rgb="FFFF0000"/>
      <name val="ＭＳ Ｐゴシック"/>
      <family val="3"/>
      <charset val="128"/>
    </font>
    <font>
      <b/>
      <sz val="8"/>
      <color rgb="FF000000"/>
      <name val="ＭＳ Ｐゴシック"/>
      <family val="3"/>
      <charset val="128"/>
    </font>
    <font>
      <b/>
      <sz val="10"/>
      <color rgb="FF000000"/>
      <name val="游ゴシック"/>
      <family val="3"/>
      <charset val="128"/>
      <scheme val="minor"/>
    </font>
    <font>
      <sz val="10"/>
      <color rgb="FFFF0000"/>
      <name val="ＭＳ Ｐゴシック"/>
      <family val="3"/>
      <charset val="128"/>
    </font>
    <font>
      <b/>
      <sz val="12"/>
      <color rgb="FF000000"/>
      <name val="ＭＳ Ｐゴシック"/>
      <family val="3"/>
      <charset val="128"/>
    </font>
    <font>
      <b/>
      <sz val="8"/>
      <name val="ＭＳ Ｐゴシック"/>
      <family val="3"/>
      <charset val="128"/>
    </font>
    <font>
      <sz val="10"/>
      <color rgb="FF000000"/>
      <name val="ＭＳ Ｐ明朝"/>
      <family val="1"/>
      <charset val="128"/>
    </font>
    <font>
      <b/>
      <sz val="10"/>
      <color rgb="FF000000"/>
      <name val="Times New Roman"/>
      <family val="1"/>
    </font>
    <font>
      <sz val="11"/>
      <color theme="1"/>
      <name val="ＭＳ Ｐゴシック"/>
      <family val="3"/>
      <charset val="128"/>
    </font>
    <font>
      <b/>
      <u val="singleAccounting"/>
      <sz val="11"/>
      <color theme="1"/>
      <name val="ＭＳ Ｐゴシック"/>
      <family val="3"/>
      <charset val="128"/>
    </font>
    <font>
      <b/>
      <sz val="10"/>
      <name val="ＭＳ Ｐゴシック"/>
      <family val="3"/>
    </font>
    <font>
      <b/>
      <sz val="10"/>
      <color rgb="FF000000"/>
      <name val="ＭＳ Ｐゴシック"/>
      <family val="3"/>
    </font>
    <font>
      <b/>
      <sz val="10"/>
      <color rgb="FF000000"/>
      <name val="MS PGothic"/>
      <family val="3"/>
      <charset val="128"/>
    </font>
    <font>
      <b/>
      <sz val="20"/>
      <name val="MS UI Gothic"/>
      <family val="3"/>
      <charset val="128"/>
    </font>
    <font>
      <sz val="20"/>
      <name val="ＭＳ Ｐゴシック"/>
      <family val="3"/>
      <charset val="128"/>
    </font>
    <font>
      <sz val="11"/>
      <name val="MS UI Gothic"/>
      <family val="3"/>
      <charset val="128"/>
    </font>
    <font>
      <sz val="22"/>
      <name val="MS UI Gothic"/>
      <family val="3"/>
      <charset val="128"/>
    </font>
    <font>
      <b/>
      <sz val="16"/>
      <name val="MS UI Gothic"/>
      <family val="3"/>
      <charset val="128"/>
    </font>
    <font>
      <sz val="14"/>
      <name val="MS UI Gothic"/>
      <family val="3"/>
      <charset val="128"/>
    </font>
    <font>
      <b/>
      <sz val="11"/>
      <name val="MS UI Gothic"/>
      <family val="3"/>
      <charset val="128"/>
    </font>
    <font>
      <sz val="10"/>
      <name val="MS UI Gothic"/>
      <family val="3"/>
      <charset val="128"/>
    </font>
    <font>
      <b/>
      <u/>
      <sz val="10"/>
      <name val="MS UI Gothic"/>
      <family val="3"/>
      <charset val="128"/>
    </font>
    <font>
      <sz val="10"/>
      <name val="AR P丸ゴシック体M"/>
      <family val="3"/>
      <charset val="128"/>
    </font>
    <font>
      <sz val="10"/>
      <color rgb="FFFF0000"/>
      <name val="AR P丸ゴシック体M"/>
      <family val="3"/>
      <charset val="128"/>
    </font>
    <font>
      <b/>
      <u/>
      <sz val="10"/>
      <color indexed="8"/>
      <name val="MS UI Gothic"/>
      <family val="3"/>
      <charset val="128"/>
    </font>
    <font>
      <b/>
      <sz val="11"/>
      <color theme="1"/>
      <name val="ＭＳ Ｐゴシック"/>
      <family val="3"/>
      <charset val="128"/>
    </font>
    <font>
      <b/>
      <sz val="8"/>
      <color rgb="FFFF0000"/>
      <name val="ＭＳ Ｐゴシック"/>
      <family val="3"/>
      <charset val="128"/>
    </font>
    <font>
      <sz val="10"/>
      <color rgb="FF000000"/>
      <name val="MS PGothic"/>
      <family val="3"/>
      <charset val="128"/>
    </font>
    <font>
      <b/>
      <u/>
      <sz val="10"/>
      <color rgb="FF000000"/>
      <name val="MS UI Gothic"/>
      <family val="3"/>
      <charset val="128"/>
    </font>
    <font>
      <sz val="10"/>
      <color rgb="FF000000"/>
      <name val="MS UI Gothic"/>
      <family val="3"/>
      <charset val="128"/>
    </font>
    <font>
      <sz val="14"/>
      <color rgb="FF000000"/>
      <name val="Times New Roman"/>
      <family val="1"/>
    </font>
    <font>
      <sz val="11"/>
      <color theme="1"/>
      <name val="MS PGothic"/>
      <family val="3"/>
      <charset val="128"/>
    </font>
    <font>
      <sz val="11"/>
      <color rgb="FF000000"/>
      <name val="ＭＳ Ｐゴシック"/>
      <family val="3"/>
      <charset val="128"/>
    </font>
    <font>
      <b/>
      <u/>
      <sz val="10"/>
      <color rgb="FFFF0000"/>
      <name val="AR P丸ゴシック体M"/>
      <family val="3"/>
      <charset val="128"/>
    </font>
    <font>
      <b/>
      <sz val="10"/>
      <color rgb="FF000000"/>
      <name val="ＭＳ Ｐゴシック"/>
      <family val="3"/>
      <charset val="128"/>
    </font>
    <font>
      <b/>
      <sz val="10"/>
      <name val="ＭＳ Ｐゴシック"/>
      <family val="3"/>
      <charset val="128"/>
    </font>
    <font>
      <b/>
      <u/>
      <sz val="10"/>
      <color rgb="FF000000"/>
      <name val="MS UI Gothic"/>
      <family val="3"/>
      <charset val="128"/>
    </font>
    <font>
      <b/>
      <sz val="10"/>
      <color theme="1"/>
      <name val="ＭＳ Ｐゴシック"/>
      <family val="3"/>
      <charset val="128"/>
    </font>
  </fonts>
  <fills count="15">
    <fill>
      <patternFill patternType="none"/>
    </fill>
    <fill>
      <patternFill patternType="gray125"/>
    </fill>
    <fill>
      <patternFill patternType="solid">
        <fgColor theme="8" tint="0.7999816888943144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indexed="42"/>
        <bgColor indexed="64"/>
      </patternFill>
    </fill>
    <fill>
      <patternFill patternType="solid">
        <fgColor indexed="45"/>
        <bgColor indexed="64"/>
      </patternFill>
    </fill>
    <fill>
      <patternFill patternType="solid">
        <fgColor rgb="FFCCFFFF"/>
        <bgColor rgb="FF000000"/>
      </patternFill>
    </fill>
    <fill>
      <patternFill patternType="solid">
        <fgColor rgb="FFFFFF99"/>
        <bgColor rgb="FF000000"/>
      </patternFill>
    </fill>
    <fill>
      <patternFill patternType="solid">
        <fgColor rgb="FFFFCC99"/>
        <bgColor rgb="FF000000"/>
      </patternFill>
    </fill>
    <fill>
      <patternFill patternType="solid">
        <fgColor rgb="FFCCFFCC"/>
        <bgColor rgb="FF000000"/>
      </patternFill>
    </fill>
    <fill>
      <patternFill patternType="solid">
        <fgColor rgb="FF99CCFF"/>
        <bgColor rgb="FF000000"/>
      </patternFill>
    </fill>
    <fill>
      <patternFill patternType="solid">
        <fgColor theme="2" tint="-0.499984740745262"/>
        <bgColor indexed="64"/>
      </patternFill>
    </fill>
    <fill>
      <patternFill patternType="solid">
        <fgColor theme="7" tint="0.79998168889431442"/>
        <bgColor indexed="64"/>
      </patternFill>
    </fill>
  </fills>
  <borders count="88">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diagonal/>
    </border>
    <border>
      <left style="thick">
        <color indexed="64"/>
      </left>
      <right/>
      <top/>
      <bottom/>
      <diagonal/>
    </border>
    <border>
      <left style="medium">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thin">
        <color indexed="64"/>
      </right>
      <top style="thin">
        <color indexed="64"/>
      </top>
      <bottom/>
      <diagonal/>
    </border>
    <border>
      <left style="thin">
        <color indexed="64"/>
      </left>
      <right style="medium">
        <color indexed="64"/>
      </right>
      <top/>
      <bottom style="thin">
        <color indexed="64"/>
      </bottom>
      <diagonal/>
    </border>
    <border>
      <left/>
      <right/>
      <top style="medium">
        <color indexed="64"/>
      </top>
      <bottom/>
      <diagonal/>
    </border>
    <border>
      <left/>
      <right style="medium">
        <color indexed="64"/>
      </right>
      <top style="medium">
        <color indexed="64"/>
      </top>
      <bottom/>
      <diagonal/>
    </border>
    <border>
      <left style="thin">
        <color indexed="64"/>
      </left>
      <right/>
      <top/>
      <bottom/>
      <diagonal/>
    </border>
    <border>
      <left/>
      <right style="medium">
        <color indexed="64"/>
      </right>
      <top/>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rgb="FF000000"/>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style="thin">
        <color indexed="64"/>
      </left>
      <right/>
      <top style="medium">
        <color rgb="FF000000"/>
      </top>
      <bottom style="thin">
        <color indexed="64"/>
      </bottom>
      <diagonal/>
    </border>
    <border>
      <left style="medium">
        <color rgb="FF000000"/>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
      <left/>
      <right style="medium">
        <color rgb="FF000000"/>
      </right>
      <top style="medium">
        <color rgb="FF000000"/>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top style="thin">
        <color indexed="64"/>
      </top>
      <bottom style="thin">
        <color indexed="64"/>
      </bottom>
      <diagonal/>
    </border>
    <border>
      <left/>
      <right style="medium">
        <color rgb="FF000000"/>
      </right>
      <top style="thin">
        <color indexed="64"/>
      </top>
      <bottom style="thin">
        <color indexed="64"/>
      </bottom>
      <diagonal/>
    </border>
    <border>
      <left style="medium">
        <color rgb="FF000000"/>
      </left>
      <right/>
      <top style="thin">
        <color indexed="64"/>
      </top>
      <bottom style="medium">
        <color rgb="FF000000"/>
      </bottom>
      <diagonal/>
    </border>
    <border>
      <left/>
      <right/>
      <top style="thin">
        <color indexed="64"/>
      </top>
      <bottom style="medium">
        <color rgb="FF000000"/>
      </bottom>
      <diagonal/>
    </border>
    <border>
      <left/>
      <right style="medium">
        <color rgb="FF000000"/>
      </right>
      <top style="thin">
        <color indexed="64"/>
      </top>
      <bottom style="medium">
        <color rgb="FF000000"/>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medium">
        <color indexed="64"/>
      </right>
      <top/>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medium">
        <color indexed="64"/>
      </right>
      <top/>
      <bottom style="medium">
        <color rgb="FF000000"/>
      </bottom>
      <diagonal/>
    </border>
    <border>
      <left/>
      <right style="medium">
        <color indexed="64"/>
      </right>
      <top style="thin">
        <color indexed="64"/>
      </top>
      <bottom/>
      <diagonal/>
    </border>
    <border>
      <left/>
      <right style="medium">
        <color indexed="64"/>
      </right>
      <top/>
      <bottom style="dashed">
        <color indexed="64"/>
      </bottom>
      <diagonal/>
    </border>
    <border>
      <left/>
      <right style="medium">
        <color indexed="64"/>
      </right>
      <top/>
      <bottom style="dotted">
        <color indexed="64"/>
      </bottom>
      <diagonal/>
    </border>
    <border>
      <left/>
      <right style="thin">
        <color indexed="64"/>
      </right>
      <top style="thin">
        <color indexed="64"/>
      </top>
      <bottom/>
      <diagonal/>
    </border>
    <border>
      <left style="medium">
        <color indexed="64"/>
      </left>
      <right style="thin">
        <color indexed="64"/>
      </right>
      <top/>
      <bottom style="medium">
        <color rgb="FF000000"/>
      </bottom>
      <diagonal/>
    </border>
    <border>
      <left/>
      <right style="medium">
        <color indexed="64"/>
      </right>
      <top style="thin">
        <color indexed="64"/>
      </top>
      <bottom style="dotted">
        <color indexed="64"/>
      </bottom>
      <diagonal/>
    </border>
    <border>
      <left/>
      <right style="medium">
        <color indexed="64"/>
      </right>
      <top style="thin">
        <color indexed="64"/>
      </top>
      <bottom style="dashed">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s>
  <cellStyleXfs count="2">
    <xf numFmtId="0" fontId="0" fillId="0" borderId="0">
      <alignment vertical="center"/>
    </xf>
    <xf numFmtId="0" fontId="2" fillId="0" borderId="0"/>
  </cellStyleXfs>
  <cellXfs count="305">
    <xf numFmtId="0" fontId="0" fillId="0" borderId="0" xfId="0">
      <alignment vertical="center"/>
    </xf>
    <xf numFmtId="0" fontId="6" fillId="0" borderId="0" xfId="1" applyFont="1" applyAlignment="1">
      <alignment horizontal="left" vertical="top"/>
    </xf>
    <xf numFmtId="0" fontId="2" fillId="0" borderId="0" xfId="1" applyAlignment="1">
      <alignment horizontal="left" vertical="top"/>
    </xf>
    <xf numFmtId="0" fontId="7" fillId="0" borderId="0" xfId="1" applyFont="1" applyAlignment="1">
      <alignment horizontal="left" vertical="top"/>
    </xf>
    <xf numFmtId="0" fontId="3" fillId="0" borderId="0" xfId="1" applyFont="1" applyAlignment="1">
      <alignment vertical="top"/>
    </xf>
    <xf numFmtId="0" fontId="7" fillId="0" borderId="0" xfId="1" applyFont="1" applyAlignment="1">
      <alignment vertical="top"/>
    </xf>
    <xf numFmtId="0" fontId="3" fillId="0" borderId="0" xfId="1" applyFont="1" applyAlignment="1">
      <alignment horizontal="left" vertical="top"/>
    </xf>
    <xf numFmtId="0" fontId="11" fillId="0" borderId="0" xfId="1" applyFont="1" applyAlignment="1">
      <alignment vertical="top"/>
    </xf>
    <xf numFmtId="0" fontId="7" fillId="2" borderId="0" xfId="1" applyFont="1" applyFill="1" applyAlignment="1">
      <alignment horizontal="left" vertical="top"/>
    </xf>
    <xf numFmtId="0" fontId="3" fillId="0" borderId="15" xfId="1" applyFont="1" applyBorder="1" applyAlignment="1">
      <alignment horizontal="left" vertical="top" wrapText="1"/>
    </xf>
    <xf numFmtId="0" fontId="3" fillId="0" borderId="18" xfId="1" applyFont="1" applyBorder="1" applyAlignment="1">
      <alignment horizontal="left" vertical="top" wrapText="1"/>
    </xf>
    <xf numFmtId="0" fontId="15" fillId="0" borderId="0" xfId="1" applyFont="1" applyAlignment="1">
      <alignment horizontal="left" vertical="top"/>
    </xf>
    <xf numFmtId="0" fontId="17" fillId="0" borderId="0" xfId="0" applyFont="1">
      <alignment vertical="center"/>
    </xf>
    <xf numFmtId="0" fontId="7" fillId="0" borderId="15" xfId="1" applyFont="1" applyBorder="1" applyAlignment="1">
      <alignment horizontal="left" vertical="top" wrapText="1"/>
    </xf>
    <xf numFmtId="0" fontId="0" fillId="0" borderId="0" xfId="0" applyAlignment="1">
      <alignment vertical="center" wrapText="1"/>
    </xf>
    <xf numFmtId="0" fontId="0" fillId="0" borderId="0" xfId="0" applyAlignment="1">
      <alignment vertical="top"/>
    </xf>
    <xf numFmtId="0" fontId="17" fillId="0" borderId="15" xfId="0" applyFont="1" applyBorder="1" applyAlignment="1">
      <alignment vertical="top" wrapText="1"/>
    </xf>
    <xf numFmtId="0" fontId="17" fillId="0" borderId="18" xfId="0" applyFont="1" applyBorder="1" applyAlignment="1">
      <alignment horizontal="left" vertical="top" wrapText="1"/>
    </xf>
    <xf numFmtId="0" fontId="17" fillId="0" borderId="6" xfId="0" applyFont="1" applyBorder="1" applyAlignment="1">
      <alignment horizontal="left" vertical="top" wrapText="1"/>
    </xf>
    <xf numFmtId="0" fontId="17" fillId="0" borderId="0" xfId="0" applyFont="1" applyAlignment="1">
      <alignment horizontal="left" vertical="top" wrapText="1"/>
    </xf>
    <xf numFmtId="0" fontId="18" fillId="3" borderId="2" xfId="0" applyFont="1" applyFill="1" applyBorder="1" applyAlignment="1">
      <alignment horizontal="left" vertical="top" wrapText="1"/>
    </xf>
    <xf numFmtId="0" fontId="17" fillId="0" borderId="5" xfId="0" applyFont="1" applyBorder="1" applyAlignment="1">
      <alignment horizontal="left" vertical="top" wrapText="1"/>
    </xf>
    <xf numFmtId="0" fontId="17" fillId="5" borderId="15" xfId="0" applyFont="1" applyFill="1" applyBorder="1" applyAlignment="1">
      <alignment vertical="top" wrapText="1"/>
    </xf>
    <xf numFmtId="0" fontId="24" fillId="0" borderId="0" xfId="0" applyFont="1">
      <alignment vertical="center"/>
    </xf>
    <xf numFmtId="0" fontId="25" fillId="0" borderId="0" xfId="0" applyFont="1">
      <alignment vertical="center"/>
    </xf>
    <xf numFmtId="0" fontId="26" fillId="0" borderId="0" xfId="0" applyFont="1" applyAlignment="1">
      <alignment horizontal="center" vertical="center"/>
    </xf>
    <xf numFmtId="0" fontId="29" fillId="0" borderId="0" xfId="0" applyFont="1">
      <alignment vertical="center"/>
    </xf>
    <xf numFmtId="0" fontId="28" fillId="0" borderId="0" xfId="0" applyFont="1" applyAlignment="1">
      <alignment horizontal="center" vertical="center" textRotation="255"/>
    </xf>
    <xf numFmtId="0" fontId="28" fillId="0" borderId="0" xfId="0" applyFont="1">
      <alignment vertical="center"/>
    </xf>
    <xf numFmtId="0" fontId="29" fillId="0" borderId="0" xfId="0" applyFont="1" applyAlignment="1">
      <alignment vertical="center" wrapText="1"/>
    </xf>
    <xf numFmtId="0" fontId="31" fillId="0" borderId="0" xfId="0" applyFont="1" applyAlignment="1">
      <alignment vertical="top" wrapText="1"/>
    </xf>
    <xf numFmtId="0" fontId="30" fillId="0" borderId="63" xfId="0" applyFont="1" applyBorder="1" applyAlignment="1">
      <alignment vertical="center" wrapText="1"/>
    </xf>
    <xf numFmtId="0" fontId="28" fillId="0" borderId="0" xfId="0" applyFont="1" applyAlignment="1">
      <alignment horizontal="left" vertical="center" wrapText="1" shrinkToFit="1"/>
    </xf>
    <xf numFmtId="0" fontId="28" fillId="0" borderId="0" xfId="0" applyFont="1" applyAlignment="1">
      <alignment horizontal="left" vertical="center" shrinkToFit="1"/>
    </xf>
    <xf numFmtId="0" fontId="31" fillId="6" borderId="63" xfId="0" applyFont="1" applyFill="1" applyBorder="1" applyAlignment="1">
      <alignment horizontal="left" vertical="center" wrapText="1"/>
    </xf>
    <xf numFmtId="0" fontId="34" fillId="0" borderId="0" xfId="0" applyFont="1">
      <alignment vertical="center"/>
    </xf>
    <xf numFmtId="0" fontId="17" fillId="0" borderId="31" xfId="0" applyFont="1" applyBorder="1" applyAlignment="1">
      <alignment horizontal="left" vertical="top" wrapText="1"/>
    </xf>
    <xf numFmtId="0" fontId="17" fillId="0" borderId="62" xfId="0" applyFont="1" applyBorder="1" applyAlignment="1">
      <alignment horizontal="left" vertical="top" wrapText="1"/>
    </xf>
    <xf numFmtId="0" fontId="36" fillId="2" borderId="0" xfId="1" applyFont="1" applyFill="1" applyAlignment="1">
      <alignment horizontal="left" vertical="top"/>
    </xf>
    <xf numFmtId="0" fontId="36" fillId="0" borderId="0" xfId="1" applyFont="1" applyAlignment="1">
      <alignment horizontal="left" vertical="top"/>
    </xf>
    <xf numFmtId="0" fontId="24" fillId="0" borderId="59" xfId="0" applyFont="1" applyBorder="1">
      <alignment vertical="center"/>
    </xf>
    <xf numFmtId="0" fontId="28" fillId="8" borderId="69" xfId="0" applyFont="1" applyFill="1" applyBorder="1">
      <alignment vertical="center"/>
    </xf>
    <xf numFmtId="0" fontId="28" fillId="9" borderId="70" xfId="0" applyFont="1" applyFill="1" applyBorder="1">
      <alignment vertical="center"/>
    </xf>
    <xf numFmtId="0" fontId="28" fillId="10" borderId="34" xfId="0" applyFont="1" applyFill="1" applyBorder="1">
      <alignment vertical="center"/>
    </xf>
    <xf numFmtId="0" fontId="28" fillId="11" borderId="34" xfId="0" applyFont="1" applyFill="1" applyBorder="1" applyAlignment="1">
      <alignment vertical="center" wrapText="1"/>
    </xf>
    <xf numFmtId="0" fontId="28" fillId="9" borderId="34" xfId="0" applyFont="1" applyFill="1" applyBorder="1">
      <alignment vertical="center"/>
    </xf>
    <xf numFmtId="0" fontId="30" fillId="0" borderId="9" xfId="0" applyFont="1" applyBorder="1" applyAlignment="1">
      <alignment vertical="center" wrapText="1"/>
    </xf>
    <xf numFmtId="0" fontId="31" fillId="11" borderId="9" xfId="0" applyFont="1" applyFill="1" applyBorder="1" applyAlignment="1">
      <alignment vertical="center" wrapText="1"/>
    </xf>
    <xf numFmtId="0" fontId="28" fillId="9" borderId="72" xfId="0" applyFont="1" applyFill="1" applyBorder="1">
      <alignment vertical="center"/>
    </xf>
    <xf numFmtId="0" fontId="30" fillId="0" borderId="39" xfId="0" applyFont="1" applyBorder="1" applyAlignment="1">
      <alignment vertical="center" wrapText="1"/>
    </xf>
    <xf numFmtId="0" fontId="31" fillId="11" borderId="39" xfId="0" applyFont="1" applyFill="1" applyBorder="1" applyAlignment="1">
      <alignment vertical="center" wrapText="1"/>
    </xf>
    <xf numFmtId="0" fontId="30" fillId="0" borderId="73" xfId="0" applyFont="1" applyBorder="1" applyAlignment="1">
      <alignment vertical="center" wrapText="1"/>
    </xf>
    <xf numFmtId="0" fontId="31" fillId="11" borderId="74" xfId="0" applyFont="1" applyFill="1" applyBorder="1" applyAlignment="1">
      <alignment vertical="center" wrapText="1"/>
    </xf>
    <xf numFmtId="0" fontId="32" fillId="11" borderId="73" xfId="0" applyFont="1" applyFill="1" applyBorder="1" applyAlignment="1">
      <alignment vertical="center" wrapText="1"/>
    </xf>
    <xf numFmtId="0" fontId="31" fillId="11" borderId="13" xfId="0" applyFont="1" applyFill="1" applyBorder="1" applyAlignment="1">
      <alignment vertical="center" wrapText="1"/>
    </xf>
    <xf numFmtId="0" fontId="28" fillId="8" borderId="75" xfId="0" applyFont="1" applyFill="1" applyBorder="1">
      <alignment vertical="center"/>
    </xf>
    <xf numFmtId="0" fontId="31" fillId="11" borderId="73" xfId="0" applyFont="1" applyFill="1" applyBorder="1" applyAlignment="1">
      <alignment vertical="center" wrapText="1"/>
    </xf>
    <xf numFmtId="0" fontId="28" fillId="9" borderId="72" xfId="0" applyFont="1" applyFill="1" applyBorder="1" applyAlignment="1">
      <alignment vertical="center" wrapText="1"/>
    </xf>
    <xf numFmtId="0" fontId="31" fillId="11" borderId="77" xfId="0" applyFont="1" applyFill="1" applyBorder="1" applyAlignment="1">
      <alignment vertical="center" wrapText="1"/>
    </xf>
    <xf numFmtId="0" fontId="31" fillId="11" borderId="78" xfId="0" applyFont="1" applyFill="1" applyBorder="1" applyAlignment="1">
      <alignment vertical="center" wrapText="1"/>
    </xf>
    <xf numFmtId="0" fontId="28" fillId="9" borderId="13" xfId="0" applyFont="1" applyFill="1" applyBorder="1">
      <alignment vertical="center"/>
    </xf>
    <xf numFmtId="0" fontId="31" fillId="11" borderId="72" xfId="0" applyFont="1" applyFill="1" applyBorder="1" applyAlignment="1">
      <alignment vertical="center" wrapText="1"/>
    </xf>
    <xf numFmtId="0" fontId="28" fillId="9" borderId="39" xfId="0" applyFont="1" applyFill="1" applyBorder="1" applyAlignment="1">
      <alignment vertical="center" wrapText="1"/>
    </xf>
    <xf numFmtId="0" fontId="31" fillId="11" borderId="21" xfId="0" applyFont="1" applyFill="1" applyBorder="1" applyAlignment="1">
      <alignment vertical="center" wrapText="1"/>
    </xf>
    <xf numFmtId="0" fontId="37" fillId="0" borderId="39" xfId="0" applyFont="1" applyBorder="1" applyAlignment="1">
      <alignment vertical="center" wrapText="1"/>
    </xf>
    <xf numFmtId="0" fontId="28" fillId="13" borderId="72" xfId="0" applyFont="1" applyFill="1" applyBorder="1">
      <alignment vertical="center"/>
    </xf>
    <xf numFmtId="0" fontId="30" fillId="13" borderId="73" xfId="0" applyFont="1" applyFill="1" applyBorder="1" applyAlignment="1">
      <alignment vertical="center" wrapText="1"/>
    </xf>
    <xf numFmtId="0" fontId="28" fillId="13" borderId="68" xfId="0" applyFont="1" applyFill="1" applyBorder="1" applyAlignment="1">
      <alignment vertical="center" wrapText="1"/>
    </xf>
    <xf numFmtId="0" fontId="30" fillId="13" borderId="68" xfId="0" applyFont="1" applyFill="1" applyBorder="1" applyAlignment="1">
      <alignment vertical="center" wrapText="1"/>
    </xf>
    <xf numFmtId="0" fontId="32" fillId="11" borderId="68" xfId="0" applyFont="1" applyFill="1" applyBorder="1" applyAlignment="1">
      <alignment vertical="center" wrapText="1"/>
    </xf>
    <xf numFmtId="0" fontId="30" fillId="13" borderId="63" xfId="0" applyFont="1" applyFill="1" applyBorder="1" applyAlignment="1">
      <alignment vertical="center" wrapText="1"/>
    </xf>
    <xf numFmtId="0" fontId="32" fillId="6" borderId="63" xfId="0" applyFont="1" applyFill="1" applyBorder="1" applyAlignment="1">
      <alignment vertical="center" wrapText="1"/>
    </xf>
    <xf numFmtId="0" fontId="32" fillId="11" borderId="78" xfId="0" applyFont="1" applyFill="1" applyBorder="1" applyAlignment="1">
      <alignment vertical="center" wrapText="1"/>
    </xf>
    <xf numFmtId="0" fontId="6" fillId="0" borderId="0" xfId="1" applyFont="1" applyAlignment="1">
      <alignment horizontal="left" vertical="top" wrapText="1"/>
    </xf>
    <xf numFmtId="0" fontId="7" fillId="0" borderId="0" xfId="1" applyFont="1" applyAlignment="1">
      <alignment horizontal="left" vertical="top" wrapText="1"/>
    </xf>
    <xf numFmtId="0" fontId="39" fillId="0" borderId="0" xfId="0" applyFont="1">
      <alignment vertical="center"/>
    </xf>
    <xf numFmtId="0" fontId="18" fillId="3" borderId="1" xfId="0" applyFont="1" applyFill="1" applyBorder="1" applyAlignment="1">
      <alignment horizontal="left" vertical="top" wrapText="1"/>
    </xf>
    <xf numFmtId="0" fontId="18" fillId="3" borderId="3" xfId="0" applyFont="1" applyFill="1" applyBorder="1" applyAlignment="1">
      <alignment horizontal="left" vertical="top" wrapText="1"/>
    </xf>
    <xf numFmtId="0" fontId="18" fillId="0" borderId="0" xfId="0" applyFont="1" applyAlignment="1">
      <alignment horizontal="left" vertical="top" wrapText="1"/>
    </xf>
    <xf numFmtId="0" fontId="0" fillId="0" borderId="0" xfId="0" applyAlignment="1">
      <alignment horizontal="left" vertical="center" wrapText="1"/>
    </xf>
    <xf numFmtId="0" fontId="17" fillId="0" borderId="17" xfId="0" applyFont="1" applyBorder="1" applyAlignment="1">
      <alignment horizontal="left" vertical="top" wrapText="1"/>
    </xf>
    <xf numFmtId="0" fontId="0" fillId="0" borderId="0" xfId="0" applyAlignment="1">
      <alignment horizontal="left" vertical="top" wrapText="1"/>
    </xf>
    <xf numFmtId="0" fontId="17" fillId="0" borderId="14" xfId="0" applyFont="1" applyBorder="1" applyAlignment="1">
      <alignment horizontal="left" vertical="top" wrapText="1"/>
    </xf>
    <xf numFmtId="0" fontId="17" fillId="0" borderId="4" xfId="0" applyFont="1" applyBorder="1" applyAlignment="1">
      <alignment horizontal="left" vertical="top" wrapText="1"/>
    </xf>
    <xf numFmtId="0" fontId="3" fillId="0" borderId="51" xfId="1" applyFont="1" applyBorder="1" applyAlignment="1">
      <alignment horizontal="left" vertical="top" wrapText="1"/>
    </xf>
    <xf numFmtId="0" fontId="3" fillId="0" borderId="52" xfId="1" applyFont="1" applyBorder="1" applyAlignment="1">
      <alignment horizontal="left" vertical="top" wrapText="1"/>
    </xf>
    <xf numFmtId="0" fontId="7" fillId="0" borderId="17" xfId="1" applyFont="1" applyBorder="1" applyAlignment="1">
      <alignment horizontal="left" vertical="top" wrapText="1"/>
    </xf>
    <xf numFmtId="0" fontId="17" fillId="0" borderId="0" xfId="0" applyFont="1" applyAlignment="1">
      <alignment horizontal="left" vertical="top"/>
    </xf>
    <xf numFmtId="0" fontId="0" fillId="0" borderId="0" xfId="0" applyAlignment="1">
      <alignment horizontal="left" vertical="center"/>
    </xf>
    <xf numFmtId="0" fontId="40" fillId="0" borderId="0" xfId="0" applyFont="1">
      <alignment vertical="center"/>
    </xf>
    <xf numFmtId="0" fontId="17" fillId="0" borderId="86" xfId="0" applyFont="1" applyBorder="1" applyAlignment="1">
      <alignment vertical="top" wrapText="1"/>
    </xf>
    <xf numFmtId="0" fontId="17" fillId="0" borderId="31" xfId="0" applyFont="1" applyBorder="1" applyAlignment="1">
      <alignment vertical="top" wrapText="1"/>
    </xf>
    <xf numFmtId="0" fontId="17" fillId="0" borderId="87" xfId="0" applyFont="1" applyBorder="1" applyAlignment="1">
      <alignment vertical="top" wrapText="1"/>
    </xf>
    <xf numFmtId="0" fontId="41" fillId="0" borderId="0" xfId="0" applyFont="1">
      <alignment vertical="center"/>
    </xf>
    <xf numFmtId="0" fontId="17" fillId="0" borderId="81" xfId="0" applyFont="1" applyBorder="1" applyAlignment="1">
      <alignment vertical="top" wrapText="1"/>
    </xf>
    <xf numFmtId="0" fontId="32" fillId="11" borderId="9" xfId="0" applyFont="1" applyFill="1" applyBorder="1" applyAlignment="1">
      <alignment vertical="center" wrapText="1"/>
    </xf>
    <xf numFmtId="0" fontId="32" fillId="11" borderId="39" xfId="0" applyFont="1" applyFill="1" applyBorder="1" applyAlignment="1">
      <alignment vertical="center" wrapText="1"/>
    </xf>
    <xf numFmtId="0" fontId="32" fillId="11" borderId="77" xfId="0" applyFont="1" applyFill="1" applyBorder="1" applyAlignment="1">
      <alignment vertical="center" wrapText="1"/>
    </xf>
    <xf numFmtId="0" fontId="32" fillId="11" borderId="13" xfId="0" applyFont="1" applyFill="1" applyBorder="1" applyAlignment="1">
      <alignment vertical="center" wrapText="1"/>
    </xf>
    <xf numFmtId="0" fontId="17" fillId="0" borderId="15" xfId="0" applyFont="1" applyBorder="1" applyAlignment="1">
      <alignment horizontal="left" vertical="top" wrapText="1"/>
    </xf>
    <xf numFmtId="0" fontId="17" fillId="5" borderId="15" xfId="0" applyFont="1" applyFill="1" applyBorder="1" applyAlignment="1">
      <alignment horizontal="left" vertical="top" wrapText="1"/>
    </xf>
    <xf numFmtId="0" fontId="17" fillId="0" borderId="11" xfId="0" applyFont="1" applyBorder="1" applyAlignment="1">
      <alignment vertical="top" wrapText="1"/>
    </xf>
    <xf numFmtId="0" fontId="3" fillId="0" borderId="11" xfId="1" applyFont="1" applyBorder="1" applyAlignment="1">
      <alignment horizontal="left" vertical="top" wrapText="1"/>
    </xf>
    <xf numFmtId="0" fontId="17" fillId="0" borderId="0" xfId="0" applyFont="1" applyAlignment="1">
      <alignment horizontal="left" vertical="center" wrapText="1"/>
    </xf>
    <xf numFmtId="0" fontId="3" fillId="4" borderId="39" xfId="1" applyFont="1" applyFill="1" applyBorder="1" applyAlignment="1">
      <alignment horizontal="center" vertical="top" wrapText="1"/>
    </xf>
    <xf numFmtId="0" fontId="45" fillId="0" borderId="13" xfId="0" applyFont="1" applyBorder="1" applyAlignment="1">
      <alignment vertical="center" wrapText="1"/>
    </xf>
    <xf numFmtId="0" fontId="31" fillId="11" borderId="83" xfId="0" applyFont="1" applyFill="1" applyBorder="1" applyAlignment="1">
      <alignment vertical="center" wrapText="1"/>
    </xf>
    <xf numFmtId="0" fontId="31" fillId="6" borderId="63" xfId="0" applyFont="1" applyFill="1" applyBorder="1" applyAlignment="1">
      <alignment vertical="top" wrapText="1"/>
    </xf>
    <xf numFmtId="0" fontId="7" fillId="0" borderId="15" xfId="1" applyFont="1" applyBorder="1" applyAlignment="1" applyProtection="1">
      <alignment horizontal="center" vertical="top"/>
      <protection locked="0"/>
      <extLst>
        <ext xmlns:xfpb="http://schemas.microsoft.com/office/spreadsheetml/2022/featurepropertybag" uri="{C7286773-470A-42A8-94C5-96B5CB345126}">
          <xfpb:xfComplement i="0"/>
        </ext>
      </extLst>
    </xf>
    <xf numFmtId="0" fontId="3" fillId="0" borderId="15" xfId="1" applyFont="1" applyBorder="1" applyAlignment="1" applyProtection="1">
      <alignment horizontal="left" vertical="top" wrapText="1"/>
      <protection locked="0"/>
    </xf>
    <xf numFmtId="0" fontId="3" fillId="0" borderId="15" xfId="1" applyFont="1" applyBorder="1" applyAlignment="1" applyProtection="1">
      <alignment horizontal="center" vertical="top"/>
      <protection locked="0"/>
      <extLst>
        <ext xmlns:xfpb="http://schemas.microsoft.com/office/spreadsheetml/2022/featurepropertybag" uri="{C7286773-470A-42A8-94C5-96B5CB345126}">
          <xfpb:xfComplement i="0"/>
        </ext>
      </extLst>
    </xf>
    <xf numFmtId="0" fontId="3" fillId="0" borderId="2" xfId="1" applyFont="1" applyBorder="1" applyAlignment="1" applyProtection="1">
      <alignment horizontal="center" vertical="top" wrapText="1"/>
      <protection locked="0"/>
      <extLst>
        <ext xmlns:xfpb="http://schemas.microsoft.com/office/spreadsheetml/2022/featurepropertybag" uri="{C7286773-470A-42A8-94C5-96B5CB345126}">
          <xfpb:xfComplement i="0"/>
        </ext>
      </extLst>
    </xf>
    <xf numFmtId="0" fontId="11" fillId="0" borderId="2" xfId="1" applyFont="1" applyBorder="1" applyAlignment="1" applyProtection="1">
      <alignment horizontal="center" vertical="top" wrapText="1"/>
      <protection locked="0"/>
      <extLst>
        <ext xmlns:xfpb="http://schemas.microsoft.com/office/spreadsheetml/2022/featurepropertybag" uri="{C7286773-470A-42A8-94C5-96B5CB345126}">
          <xfpb:xfComplement i="0"/>
        </ext>
      </extLst>
    </xf>
    <xf numFmtId="0" fontId="6" fillId="0" borderId="15" xfId="1" applyFont="1" applyBorder="1" applyAlignment="1" applyProtection="1">
      <alignment horizontal="center" vertical="top"/>
      <protection locked="0"/>
      <extLst>
        <ext xmlns:xfpb="http://schemas.microsoft.com/office/spreadsheetml/2022/featurepropertybag" uri="{C7286773-470A-42A8-94C5-96B5CB345126}">
          <xfpb:xfComplement i="0"/>
        </ext>
      </extLst>
    </xf>
    <xf numFmtId="0" fontId="16" fillId="0" borderId="15" xfId="1" applyFont="1" applyBorder="1" applyAlignment="1" applyProtection="1">
      <alignment horizontal="center" vertical="top" wrapText="1"/>
      <protection locked="0"/>
      <extLst>
        <ext xmlns:xfpb="http://schemas.microsoft.com/office/spreadsheetml/2022/featurepropertybag" uri="{C7286773-470A-42A8-94C5-96B5CB345126}">
          <xfpb:xfComplement i="0"/>
        </ext>
      </extLst>
    </xf>
    <xf numFmtId="0" fontId="11" fillId="0" borderId="15" xfId="1" applyFont="1" applyBorder="1" applyAlignment="1" applyProtection="1">
      <alignment horizontal="center" vertical="top" wrapText="1"/>
      <protection locked="0"/>
      <extLst>
        <ext xmlns:xfpb="http://schemas.microsoft.com/office/spreadsheetml/2022/featurepropertybag" uri="{C7286773-470A-42A8-94C5-96B5CB345126}">
          <xfpb:xfComplement i="0"/>
        </ext>
      </extLst>
    </xf>
    <xf numFmtId="0" fontId="3" fillId="0" borderId="15" xfId="1" applyFont="1" applyBorder="1" applyAlignment="1" applyProtection="1">
      <alignment horizontal="center" vertical="top" wrapText="1"/>
      <protection locked="0"/>
      <extLst>
        <ext xmlns:xfpb="http://schemas.microsoft.com/office/spreadsheetml/2022/featurepropertybag" uri="{C7286773-470A-42A8-94C5-96B5CB345126}">
          <xfpb:xfComplement i="0"/>
        </ext>
      </extLst>
    </xf>
    <xf numFmtId="0" fontId="2" fillId="3" borderId="0" xfId="1" applyFill="1" applyAlignment="1">
      <alignment horizontal="left" vertical="top"/>
    </xf>
    <xf numFmtId="0" fontId="2" fillId="14" borderId="0" xfId="1" applyFill="1" applyAlignment="1">
      <alignment horizontal="left" vertical="top"/>
    </xf>
    <xf numFmtId="0" fontId="3" fillId="0" borderId="83" xfId="1" applyFont="1" applyBorder="1" applyAlignment="1">
      <alignment horizontal="left" vertical="top" wrapText="1"/>
    </xf>
    <xf numFmtId="0" fontId="43" fillId="0" borderId="83" xfId="1" applyFont="1" applyBorder="1" applyAlignment="1">
      <alignment horizontal="left" vertical="top" wrapText="1"/>
    </xf>
    <xf numFmtId="0" fontId="3" fillId="0" borderId="63" xfId="1" applyFont="1" applyBorder="1" applyAlignment="1">
      <alignment horizontal="left" vertical="top" wrapText="1"/>
    </xf>
    <xf numFmtId="0" fontId="3" fillId="0" borderId="82" xfId="1" applyFont="1" applyBorder="1" applyAlignment="1">
      <alignment horizontal="left" vertical="top" wrapText="1"/>
    </xf>
    <xf numFmtId="0" fontId="11" fillId="0" borderId="0" xfId="1" applyFont="1" applyAlignment="1">
      <alignment horizontal="left" vertical="top"/>
    </xf>
    <xf numFmtId="0" fontId="3" fillId="0" borderId="40" xfId="1" applyFont="1" applyBorder="1" applyAlignment="1">
      <alignment horizontal="left" vertical="top" wrapText="1"/>
    </xf>
    <xf numFmtId="0" fontId="9" fillId="0" borderId="0" xfId="1" applyFont="1" applyAlignment="1">
      <alignment vertical="top"/>
    </xf>
    <xf numFmtId="0" fontId="4" fillId="0" borderId="0" xfId="1" applyFont="1" applyAlignment="1">
      <alignment vertical="top" wrapText="1"/>
    </xf>
    <xf numFmtId="0" fontId="4" fillId="0" borderId="0" xfId="1" applyFont="1" applyAlignment="1">
      <alignment horizontal="center" vertical="top" wrapText="1"/>
    </xf>
    <xf numFmtId="0" fontId="7" fillId="4" borderId="43" xfId="1" applyFont="1" applyFill="1" applyBorder="1" applyAlignment="1">
      <alignment horizontal="left" vertical="top" wrapText="1"/>
    </xf>
    <xf numFmtId="176" fontId="7" fillId="0" borderId="0" xfId="1" applyNumberFormat="1" applyFont="1" applyAlignment="1">
      <alignment vertical="top" shrinkToFit="1"/>
    </xf>
    <xf numFmtId="0" fontId="8" fillId="0" borderId="0" xfId="1" applyFont="1" applyAlignment="1">
      <alignment horizontal="center" vertical="top" wrapText="1"/>
    </xf>
    <xf numFmtId="176" fontId="7" fillId="0" borderId="0" xfId="1" applyNumberFormat="1" applyFont="1" applyAlignment="1">
      <alignment horizontal="center" vertical="top" shrinkToFit="1"/>
    </xf>
    <xf numFmtId="0" fontId="7" fillId="0" borderId="0" xfId="1" applyFont="1" applyAlignment="1">
      <alignment horizontal="center" vertical="top"/>
    </xf>
    <xf numFmtId="0" fontId="3" fillId="0" borderId="1" xfId="1" applyFont="1" applyBorder="1" applyAlignment="1">
      <alignment horizontal="center" vertical="top" wrapText="1"/>
    </xf>
    <xf numFmtId="0" fontId="3" fillId="0" borderId="10" xfId="1" applyFont="1" applyBorder="1" applyAlignment="1">
      <alignment horizontal="center" vertical="top" wrapText="1"/>
    </xf>
    <xf numFmtId="0" fontId="4" fillId="0" borderId="16" xfId="1" applyFont="1" applyBorder="1" applyAlignment="1">
      <alignment horizontal="center" vertical="top" wrapText="1"/>
    </xf>
    <xf numFmtId="0" fontId="4" fillId="0" borderId="17" xfId="1" applyFont="1" applyBorder="1" applyAlignment="1">
      <alignment horizontal="center" vertical="top" wrapText="1"/>
    </xf>
    <xf numFmtId="0" fontId="4" fillId="0" borderId="4" xfId="1" applyFont="1" applyBorder="1" applyAlignment="1">
      <alignment horizontal="center" vertical="top" wrapText="1"/>
    </xf>
    <xf numFmtId="0" fontId="3" fillId="0" borderId="17" xfId="1" applyFont="1" applyBorder="1" applyAlignment="1">
      <alignment horizontal="center" vertical="top" wrapText="1"/>
    </xf>
    <xf numFmtId="0" fontId="3" fillId="0" borderId="15" xfId="1" applyFont="1" applyBorder="1" applyAlignment="1">
      <alignment horizontal="left" vertical="top"/>
    </xf>
    <xf numFmtId="0" fontId="44" fillId="0" borderId="4" xfId="1" applyFont="1" applyBorder="1" applyAlignment="1">
      <alignment horizontal="center" vertical="top" wrapText="1"/>
    </xf>
    <xf numFmtId="0" fontId="7" fillId="0" borderId="5" xfId="1" applyFont="1" applyBorder="1" applyAlignment="1">
      <alignment horizontal="left" vertical="top"/>
    </xf>
    <xf numFmtId="0" fontId="3" fillId="0" borderId="2" xfId="1" applyFont="1" applyBorder="1" applyAlignment="1">
      <alignment vertical="top" wrapText="1"/>
    </xf>
    <xf numFmtId="0" fontId="21" fillId="0" borderId="3" xfId="1" applyFont="1" applyBorder="1" applyAlignment="1">
      <alignment horizontal="left" vertical="top" wrapText="1"/>
    </xf>
    <xf numFmtId="0" fontId="16" fillId="0" borderId="0" xfId="1" applyFont="1" applyAlignment="1">
      <alignment horizontal="left" vertical="top" wrapText="1"/>
    </xf>
    <xf numFmtId="0" fontId="21" fillId="0" borderId="15" xfId="1" applyFont="1" applyBorder="1" applyAlignment="1">
      <alignment horizontal="left" vertical="top" wrapText="1"/>
    </xf>
    <xf numFmtId="0" fontId="3" fillId="0" borderId="15" xfId="1" applyFont="1" applyBorder="1" applyAlignment="1">
      <alignment vertical="top" wrapText="1"/>
    </xf>
    <xf numFmtId="0" fontId="3" fillId="0" borderId="18" xfId="1" applyFont="1" applyBorder="1" applyAlignment="1">
      <alignment vertical="top" wrapText="1"/>
    </xf>
    <xf numFmtId="0" fontId="3" fillId="0" borderId="0" xfId="1" applyFont="1" applyAlignment="1">
      <alignment vertical="top" wrapText="1"/>
    </xf>
    <xf numFmtId="0" fontId="3" fillId="0" borderId="18" xfId="1" applyFont="1" applyBorder="1" applyAlignment="1">
      <alignment horizontal="left" vertical="top"/>
    </xf>
    <xf numFmtId="0" fontId="4" fillId="0" borderId="5" xfId="1" applyFont="1" applyBorder="1" applyAlignment="1">
      <alignment horizontal="center" vertical="top" wrapText="1"/>
    </xf>
    <xf numFmtId="0" fontId="7" fillId="0" borderId="6" xfId="1" applyFont="1" applyBorder="1" applyAlignment="1">
      <alignment horizontal="left" vertical="top"/>
    </xf>
    <xf numFmtId="0" fontId="3" fillId="0" borderId="23" xfId="1" applyFont="1" applyBorder="1" applyAlignment="1">
      <alignment horizontal="center" vertical="top" wrapText="1"/>
    </xf>
    <xf numFmtId="0" fontId="7" fillId="0" borderId="83" xfId="1" applyFont="1" applyBorder="1" applyAlignment="1" applyProtection="1">
      <alignment horizontal="left" vertical="top" wrapText="1"/>
      <protection locked="0"/>
    </xf>
    <xf numFmtId="0" fontId="12" fillId="0" borderId="83" xfId="1" applyFont="1" applyBorder="1" applyAlignment="1" applyProtection="1">
      <alignment horizontal="left" vertical="top" wrapText="1"/>
      <protection locked="0"/>
    </xf>
    <xf numFmtId="0" fontId="7" fillId="0" borderId="84" xfId="1" applyFont="1" applyBorder="1" applyAlignment="1" applyProtection="1">
      <alignment horizontal="left" vertical="top" wrapText="1"/>
      <protection locked="0"/>
    </xf>
    <xf numFmtId="0" fontId="3" fillId="0" borderId="51" xfId="1" applyFont="1" applyBorder="1" applyAlignment="1" applyProtection="1">
      <alignment horizontal="left" vertical="top" wrapText="1"/>
      <protection locked="0"/>
    </xf>
    <xf numFmtId="0" fontId="7" fillId="0" borderId="15" xfId="1" applyFont="1" applyBorder="1" applyAlignment="1" applyProtection="1">
      <alignment horizontal="left" vertical="top" wrapText="1"/>
      <protection locked="0"/>
    </xf>
    <xf numFmtId="0" fontId="7" fillId="0" borderId="52" xfId="1" applyFont="1" applyBorder="1" applyAlignment="1" applyProtection="1">
      <alignment horizontal="left" vertical="top" wrapText="1"/>
      <protection locked="0"/>
    </xf>
    <xf numFmtId="0" fontId="17" fillId="0" borderId="0" xfId="0" applyFont="1" applyAlignment="1" applyProtection="1">
      <alignment vertical="center" wrapText="1"/>
      <protection locked="0"/>
    </xf>
    <xf numFmtId="0" fontId="7" fillId="0" borderId="51" xfId="1" applyFont="1" applyBorder="1" applyAlignment="1" applyProtection="1">
      <alignment horizontal="left" vertical="top" wrapText="1"/>
      <protection locked="0"/>
    </xf>
    <xf numFmtId="0" fontId="7" fillId="0" borderId="31" xfId="1" applyFont="1" applyBorder="1" applyAlignment="1" applyProtection="1">
      <alignment horizontal="left" vertical="top" wrapText="1"/>
      <protection locked="0"/>
    </xf>
    <xf numFmtId="0" fontId="3" fillId="0" borderId="31" xfId="1" applyFont="1" applyBorder="1" applyAlignment="1" applyProtection="1">
      <alignment horizontal="left" vertical="top" wrapText="1"/>
      <protection locked="0"/>
    </xf>
    <xf numFmtId="0" fontId="17" fillId="0" borderId="15" xfId="0" applyFont="1" applyBorder="1" applyAlignment="1" applyProtection="1">
      <alignment vertical="center" wrapText="1"/>
      <protection locked="0"/>
    </xf>
    <xf numFmtId="0" fontId="7" fillId="0" borderId="5" xfId="1" applyFont="1" applyBorder="1" applyAlignment="1" applyProtection="1">
      <alignment horizontal="left" vertical="top" wrapText="1"/>
      <protection locked="0"/>
    </xf>
    <xf numFmtId="0" fontId="7" fillId="0" borderId="18" xfId="1" applyFont="1" applyBorder="1" applyAlignment="1" applyProtection="1">
      <alignment horizontal="left" vertical="top" wrapText="1"/>
      <protection locked="0"/>
    </xf>
    <xf numFmtId="0" fontId="7" fillId="0" borderId="6" xfId="1" applyFont="1" applyBorder="1" applyAlignment="1" applyProtection="1">
      <alignment horizontal="left" vertical="top" wrapText="1"/>
      <protection locked="0"/>
    </xf>
    <xf numFmtId="0" fontId="3" fillId="0" borderId="17" xfId="1" applyFont="1" applyBorder="1" applyAlignment="1" applyProtection="1">
      <alignment horizontal="left" vertical="top" wrapText="1"/>
      <protection locked="0"/>
    </xf>
    <xf numFmtId="0" fontId="3" fillId="0" borderId="4" xfId="1" applyFont="1" applyBorder="1" applyAlignment="1" applyProtection="1">
      <alignment horizontal="left" vertical="top" wrapText="1"/>
      <protection locked="0"/>
    </xf>
    <xf numFmtId="0" fontId="0" fillId="0" borderId="0" xfId="0" applyProtection="1">
      <alignment vertical="center"/>
      <protection locked="0"/>
      <extLst>
        <ext xmlns:xfpb="http://schemas.microsoft.com/office/spreadsheetml/2022/featurepropertybag" uri="{C7286773-470A-42A8-94C5-96B5CB345126}">
          <xfpb:xfComplement i="0"/>
        </ext>
      </extLst>
    </xf>
    <xf numFmtId="0" fontId="17" fillId="0" borderId="15" xfId="0" applyFont="1" applyBorder="1" applyAlignment="1">
      <alignment horizontal="left" vertical="top" wrapText="1"/>
    </xf>
    <xf numFmtId="0" fontId="17" fillId="0" borderId="37" xfId="0" applyFont="1" applyBorder="1" applyAlignment="1">
      <alignment vertical="top" wrapText="1"/>
    </xf>
    <xf numFmtId="0" fontId="17" fillId="0" borderId="38" xfId="0" applyFont="1" applyBorder="1" applyAlignment="1">
      <alignment vertical="top" wrapText="1"/>
    </xf>
    <xf numFmtId="0" fontId="17" fillId="0" borderId="12" xfId="0" applyFont="1" applyBorder="1" applyAlignment="1">
      <alignment vertical="top" wrapText="1"/>
    </xf>
    <xf numFmtId="0" fontId="17" fillId="0" borderId="58" xfId="0" applyFont="1" applyBorder="1" applyAlignment="1">
      <alignment vertical="top" wrapText="1"/>
    </xf>
    <xf numFmtId="0" fontId="17" fillId="5" borderId="11" xfId="0" applyFont="1" applyFill="1" applyBorder="1" applyAlignment="1">
      <alignment horizontal="left" vertical="top" wrapText="1"/>
    </xf>
    <xf numFmtId="0" fontId="17" fillId="5" borderId="58" xfId="0" applyFont="1" applyFill="1" applyBorder="1" applyAlignment="1">
      <alignment horizontal="left" vertical="top" wrapText="1"/>
    </xf>
    <xf numFmtId="0" fontId="17" fillId="0" borderId="11" xfId="0" applyFont="1" applyBorder="1" applyAlignment="1">
      <alignment horizontal="left" vertical="top" wrapText="1"/>
    </xf>
    <xf numFmtId="0" fontId="17" fillId="0" borderId="58" xfId="0" applyFont="1" applyBorder="1" applyAlignment="1">
      <alignment horizontal="left" vertical="top" wrapText="1"/>
    </xf>
    <xf numFmtId="0" fontId="17" fillId="5" borderId="15" xfId="0" applyFont="1" applyFill="1" applyBorder="1" applyAlignment="1">
      <alignment horizontal="left" vertical="top" wrapText="1"/>
    </xf>
    <xf numFmtId="0" fontId="17" fillId="5" borderId="15" xfId="0" applyFont="1" applyFill="1" applyBorder="1" applyAlignment="1">
      <alignment horizontal="left" vertical="center" wrapText="1"/>
    </xf>
    <xf numFmtId="0" fontId="17" fillId="0" borderId="11" xfId="0" applyFont="1" applyBorder="1" applyAlignment="1">
      <alignment vertical="top" wrapText="1"/>
    </xf>
    <xf numFmtId="0" fontId="17" fillId="0" borderId="79" xfId="0" applyFont="1" applyBorder="1" applyAlignment="1">
      <alignment horizontal="left" vertical="top" wrapText="1"/>
    </xf>
    <xf numFmtId="0" fontId="17" fillId="0" borderId="80" xfId="0" applyFont="1" applyBorder="1" applyAlignment="1">
      <alignment horizontal="left" vertical="top" wrapText="1"/>
    </xf>
    <xf numFmtId="0" fontId="17" fillId="0" borderId="81" xfId="0" applyFont="1" applyBorder="1" applyAlignment="1">
      <alignment horizontal="left" vertical="top" wrapText="1"/>
    </xf>
    <xf numFmtId="0" fontId="17" fillId="0" borderId="12" xfId="0" applyFont="1" applyBorder="1" applyAlignment="1">
      <alignment horizontal="left" vertical="top" wrapText="1"/>
    </xf>
    <xf numFmtId="0" fontId="28" fillId="7" borderId="25" xfId="0" applyFont="1" applyFill="1" applyBorder="1" applyAlignment="1">
      <alignment horizontal="left" vertical="center" wrapText="1" shrinkToFit="1"/>
    </xf>
    <xf numFmtId="0" fontId="28" fillId="7" borderId="26" xfId="0" applyFont="1" applyFill="1" applyBorder="1" applyAlignment="1">
      <alignment horizontal="left" vertical="center" shrinkToFit="1"/>
    </xf>
    <xf numFmtId="0" fontId="28" fillId="7" borderId="27" xfId="0" applyFont="1" applyFill="1" applyBorder="1" applyAlignment="1">
      <alignment horizontal="left" vertical="center" shrinkToFit="1"/>
    </xf>
    <xf numFmtId="0" fontId="28" fillId="13" borderId="63" xfId="0" applyFont="1" applyFill="1" applyBorder="1" applyAlignment="1">
      <alignment horizontal="left" vertical="center" wrapText="1" shrinkToFit="1"/>
    </xf>
    <xf numFmtId="0" fontId="28" fillId="13" borderId="63" xfId="0" applyFont="1" applyFill="1" applyBorder="1" applyAlignment="1">
      <alignment horizontal="left" vertical="center" shrinkToFit="1"/>
    </xf>
    <xf numFmtId="0" fontId="22" fillId="0" borderId="0" xfId="0" applyFont="1" applyAlignment="1">
      <alignment horizontal="center" vertical="center"/>
    </xf>
    <xf numFmtId="0" fontId="23" fillId="0" borderId="0" xfId="0" applyFont="1" applyAlignment="1">
      <alignment horizontal="center" vertical="center"/>
    </xf>
    <xf numFmtId="0" fontId="27" fillId="0" borderId="0" xfId="0" applyFont="1" applyAlignment="1">
      <alignment vertical="center" wrapText="1"/>
    </xf>
    <xf numFmtId="0" fontId="0" fillId="0" borderId="0" xfId="0" applyAlignment="1">
      <alignment vertical="center" wrapText="1"/>
    </xf>
    <xf numFmtId="0" fontId="28" fillId="12" borderId="59" xfId="0" applyFont="1" applyFill="1" applyBorder="1" applyAlignment="1">
      <alignment vertical="center" textRotation="255"/>
    </xf>
    <xf numFmtId="0" fontId="28" fillId="12" borderId="61" xfId="0" applyFont="1" applyFill="1" applyBorder="1" applyAlignment="1">
      <alignment vertical="center" textRotation="255"/>
    </xf>
    <xf numFmtId="0" fontId="28" fillId="12" borderId="71" xfId="0" applyFont="1" applyFill="1" applyBorder="1" applyAlignment="1">
      <alignment vertical="center" textRotation="255"/>
    </xf>
    <xf numFmtId="0" fontId="28" fillId="8" borderId="60" xfId="0" applyFont="1" applyFill="1" applyBorder="1">
      <alignment vertical="center"/>
    </xf>
    <xf numFmtId="0" fontId="28" fillId="8" borderId="10" xfId="0" applyFont="1" applyFill="1" applyBorder="1">
      <alignment vertical="center"/>
    </xf>
    <xf numFmtId="0" fontId="28" fillId="8" borderId="14" xfId="0" applyFont="1" applyFill="1" applyBorder="1" applyAlignment="1">
      <alignment vertical="center" wrapText="1"/>
    </xf>
    <xf numFmtId="0" fontId="28" fillId="8" borderId="10" xfId="0" applyFont="1" applyFill="1" applyBorder="1" applyAlignment="1">
      <alignment vertical="center" wrapText="1"/>
    </xf>
    <xf numFmtId="0" fontId="28" fillId="8" borderId="14" xfId="0" applyFont="1" applyFill="1" applyBorder="1">
      <alignment vertical="center"/>
    </xf>
    <xf numFmtId="0" fontId="28" fillId="8" borderId="76" xfId="0" applyFont="1" applyFill="1" applyBorder="1">
      <alignment vertical="center"/>
    </xf>
    <xf numFmtId="0" fontId="20" fillId="0" borderId="1" xfId="1" applyFont="1" applyBorder="1" applyAlignment="1">
      <alignment horizontal="center" vertical="top" wrapText="1"/>
    </xf>
    <xf numFmtId="0" fontId="19" fillId="0" borderId="17" xfId="1" applyFont="1" applyBorder="1" applyAlignment="1">
      <alignment horizontal="center" vertical="top" wrapText="1"/>
    </xf>
    <xf numFmtId="0" fontId="3" fillId="0" borderId="17" xfId="1" applyFont="1" applyBorder="1" applyAlignment="1">
      <alignment horizontal="center" vertical="top" wrapText="1"/>
    </xf>
    <xf numFmtId="0" fontId="4" fillId="0" borderId="17" xfId="1" applyFont="1" applyBorder="1" applyAlignment="1">
      <alignment horizontal="center" vertical="top" wrapText="1"/>
    </xf>
    <xf numFmtId="0" fontId="3" fillId="4" borderId="2" xfId="1" applyFont="1" applyFill="1" applyBorder="1" applyAlignment="1">
      <alignment horizontal="center" vertical="top"/>
    </xf>
    <xf numFmtId="0" fontId="3" fillId="4" borderId="15" xfId="1" applyFont="1" applyFill="1" applyBorder="1" applyAlignment="1">
      <alignment horizontal="center" vertical="top"/>
    </xf>
    <xf numFmtId="0" fontId="3" fillId="0" borderId="2" xfId="1" applyFont="1" applyBorder="1" applyAlignment="1">
      <alignment horizontal="left" vertical="top"/>
    </xf>
    <xf numFmtId="0" fontId="3" fillId="0" borderId="15" xfId="1" applyFont="1" applyBorder="1" applyAlignment="1">
      <alignment horizontal="left" vertical="top"/>
    </xf>
    <xf numFmtId="0" fontId="3" fillId="0" borderId="3" xfId="1" applyFont="1" applyBorder="1" applyAlignment="1">
      <alignment horizontal="left" vertical="top"/>
    </xf>
    <xf numFmtId="0" fontId="3" fillId="0" borderId="15" xfId="1" applyFont="1" applyBorder="1" applyAlignment="1">
      <alignment vertical="top"/>
    </xf>
    <xf numFmtId="0" fontId="7" fillId="0" borderId="19" xfId="1" applyFont="1" applyBorder="1" applyAlignment="1" applyProtection="1">
      <alignment horizontal="left" vertical="top" wrapText="1"/>
      <protection locked="0"/>
    </xf>
    <xf numFmtId="0" fontId="7" fillId="0" borderId="20" xfId="1" applyFont="1" applyBorder="1" applyAlignment="1" applyProtection="1">
      <alignment horizontal="left" vertical="top" wrapText="1"/>
      <protection locked="0"/>
    </xf>
    <xf numFmtId="0" fontId="7" fillId="0" borderId="21" xfId="1" applyFont="1" applyBorder="1" applyAlignment="1" applyProtection="1">
      <alignment horizontal="left" vertical="top" wrapText="1"/>
      <protection locked="0"/>
    </xf>
    <xf numFmtId="0" fontId="43" fillId="0" borderId="1" xfId="1" applyFont="1" applyBorder="1" applyAlignment="1">
      <alignment horizontal="center" vertical="top" wrapText="1"/>
    </xf>
    <xf numFmtId="0" fontId="3" fillId="0" borderId="10" xfId="1" applyFont="1" applyBorder="1" applyAlignment="1">
      <alignment horizontal="center" vertical="top" wrapText="1"/>
    </xf>
    <xf numFmtId="0" fontId="3" fillId="0" borderId="4" xfId="1" applyFont="1" applyBorder="1" applyAlignment="1">
      <alignment horizontal="center" vertical="top" wrapText="1"/>
    </xf>
    <xf numFmtId="0" fontId="7" fillId="0" borderId="5" xfId="1" applyFont="1" applyBorder="1" applyAlignment="1">
      <alignment horizontal="left" vertical="top"/>
    </xf>
    <xf numFmtId="0" fontId="7" fillId="0" borderId="15" xfId="1" applyFont="1" applyBorder="1" applyAlignment="1" applyProtection="1">
      <alignment horizontal="left" vertical="top"/>
      <protection locked="0"/>
    </xf>
    <xf numFmtId="0" fontId="7" fillId="0" borderId="18" xfId="1" applyFont="1" applyBorder="1" applyAlignment="1" applyProtection="1">
      <alignment horizontal="left" vertical="top"/>
      <protection locked="0"/>
    </xf>
    <xf numFmtId="0" fontId="7" fillId="0" borderId="5" xfId="1" applyFont="1" applyBorder="1" applyAlignment="1" applyProtection="1">
      <alignment horizontal="left" vertical="top"/>
      <protection locked="0"/>
    </xf>
    <xf numFmtId="0" fontId="7" fillId="0" borderId="6" xfId="1" applyFont="1" applyBorder="1" applyAlignment="1" applyProtection="1">
      <alignment horizontal="left" vertical="top"/>
      <protection locked="0"/>
    </xf>
    <xf numFmtId="0" fontId="7" fillId="0" borderId="19" xfId="1" applyFont="1" applyBorder="1" applyAlignment="1" applyProtection="1">
      <alignment horizontal="left" vertical="top"/>
      <protection locked="0"/>
    </xf>
    <xf numFmtId="0" fontId="7" fillId="0" borderId="20" xfId="1" applyFont="1" applyBorder="1" applyAlignment="1" applyProtection="1">
      <alignment horizontal="left" vertical="top"/>
      <protection locked="0"/>
    </xf>
    <xf numFmtId="0" fontId="7" fillId="0" borderId="21" xfId="1" applyFont="1" applyBorder="1" applyAlignment="1" applyProtection="1">
      <alignment horizontal="left" vertical="top"/>
      <protection locked="0"/>
    </xf>
    <xf numFmtId="0" fontId="7" fillId="0" borderId="11" xfId="1" applyFont="1" applyBorder="1" applyAlignment="1" applyProtection="1">
      <alignment horizontal="left" vertical="top"/>
      <protection locked="0"/>
    </xf>
    <xf numFmtId="0" fontId="7" fillId="0" borderId="12" xfId="1" applyFont="1" applyBorder="1" applyAlignment="1" applyProtection="1">
      <alignment horizontal="left" vertical="top"/>
      <protection locked="0"/>
    </xf>
    <xf numFmtId="0" fontId="7" fillId="0" borderId="13" xfId="1" applyFont="1" applyBorder="1" applyAlignment="1" applyProtection="1">
      <alignment horizontal="left" vertical="top"/>
      <protection locked="0"/>
    </xf>
    <xf numFmtId="0" fontId="7" fillId="0" borderId="2" xfId="1" applyFont="1" applyBorder="1" applyAlignment="1" applyProtection="1">
      <alignment horizontal="left" vertical="top"/>
      <protection locked="0"/>
    </xf>
    <xf numFmtId="0" fontId="7" fillId="0" borderId="3" xfId="1" applyFont="1" applyBorder="1" applyAlignment="1" applyProtection="1">
      <alignment horizontal="left" vertical="top"/>
      <protection locked="0"/>
    </xf>
    <xf numFmtId="0" fontId="3" fillId="4" borderId="11" xfId="1" applyFont="1" applyFill="1" applyBorder="1" applyAlignment="1">
      <alignment horizontal="center" vertical="top"/>
    </xf>
    <xf numFmtId="0" fontId="3" fillId="4" borderId="12" xfId="1" applyFont="1" applyFill="1" applyBorder="1" applyAlignment="1">
      <alignment horizontal="center" vertical="top"/>
    </xf>
    <xf numFmtId="0" fontId="3" fillId="4" borderId="13" xfId="1" applyFont="1" applyFill="1" applyBorder="1" applyAlignment="1">
      <alignment horizontal="center" vertical="top"/>
    </xf>
    <xf numFmtId="0" fontId="4" fillId="0" borderId="41" xfId="1" applyFont="1" applyBorder="1" applyAlignment="1">
      <alignment horizontal="left" vertical="top" wrapText="1"/>
    </xf>
    <xf numFmtId="0" fontId="4" fillId="0" borderId="42" xfId="1" applyFont="1" applyBorder="1" applyAlignment="1">
      <alignment horizontal="left" vertical="top" wrapText="1"/>
    </xf>
    <xf numFmtId="0" fontId="4" fillId="0" borderId="0" xfId="1" applyFont="1" applyAlignment="1">
      <alignment horizontal="center" vertical="top" wrapText="1"/>
    </xf>
    <xf numFmtId="176" fontId="7" fillId="4" borderId="44" xfId="1" applyNumberFormat="1" applyFont="1" applyFill="1" applyBorder="1" applyAlignment="1">
      <alignment horizontal="center" vertical="top" shrinkToFit="1"/>
    </xf>
    <xf numFmtId="176" fontId="7" fillId="4" borderId="45" xfId="1" applyNumberFormat="1" applyFont="1" applyFill="1" applyBorder="1" applyAlignment="1">
      <alignment horizontal="center" vertical="top" shrinkToFit="1"/>
    </xf>
    <xf numFmtId="0" fontId="8" fillId="0" borderId="0" xfId="1" applyFont="1" applyAlignment="1">
      <alignment horizontal="center" vertical="top" wrapText="1"/>
    </xf>
    <xf numFmtId="0" fontId="13" fillId="0" borderId="0" xfId="1" applyFont="1" applyAlignment="1">
      <alignment horizontal="center" vertical="top" wrapText="1"/>
    </xf>
    <xf numFmtId="0" fontId="3" fillId="0" borderId="0" xfId="1" applyFont="1" applyAlignment="1" applyProtection="1">
      <alignment horizontal="right" vertical="top"/>
      <protection locked="0"/>
    </xf>
    <xf numFmtId="0" fontId="7" fillId="0" borderId="7" xfId="1" applyFont="1" applyBorder="1" applyAlignment="1" applyProtection="1">
      <alignment horizontal="left" vertical="top"/>
      <protection locked="0"/>
    </xf>
    <xf numFmtId="0" fontId="7" fillId="0" borderId="8" xfId="1" applyFont="1" applyBorder="1" applyAlignment="1" applyProtection="1">
      <alignment horizontal="left" vertical="top"/>
      <protection locked="0"/>
    </xf>
    <xf numFmtId="0" fontId="7" fillId="0" borderId="9" xfId="1" applyFont="1" applyBorder="1" applyAlignment="1" applyProtection="1">
      <alignment horizontal="left" vertical="top"/>
      <protection locked="0"/>
    </xf>
    <xf numFmtId="0" fontId="4" fillId="0" borderId="14" xfId="1" applyFont="1" applyBorder="1" applyAlignment="1">
      <alignment horizontal="center" vertical="top" wrapText="1"/>
    </xf>
    <xf numFmtId="0" fontId="4" fillId="0" borderId="16" xfId="1" applyFont="1" applyBorder="1" applyAlignment="1">
      <alignment horizontal="center" vertical="top" wrapText="1"/>
    </xf>
    <xf numFmtId="0" fontId="11" fillId="0" borderId="5" xfId="1" applyFont="1" applyBorder="1" applyAlignment="1" applyProtection="1">
      <alignment horizontal="left" vertical="top" wrapText="1"/>
      <protection locked="0"/>
    </xf>
    <xf numFmtId="0" fontId="11" fillId="0" borderId="6" xfId="1" applyFont="1" applyBorder="1" applyAlignment="1" applyProtection="1">
      <alignment horizontal="left" vertical="top" wrapText="1"/>
      <protection locked="0"/>
    </xf>
    <xf numFmtId="0" fontId="11" fillId="0" borderId="0" xfId="1" applyFont="1" applyAlignment="1">
      <alignment horizontal="left" vertical="top"/>
    </xf>
    <xf numFmtId="0" fontId="3" fillId="0" borderId="24" xfId="1" applyFont="1" applyBorder="1" applyAlignment="1">
      <alignment horizontal="left" vertical="top" wrapText="1"/>
    </xf>
    <xf numFmtId="0" fontId="3" fillId="0" borderId="12" xfId="1" applyFont="1" applyBorder="1" applyAlignment="1">
      <alignment horizontal="left" vertical="top" wrapText="1"/>
    </xf>
    <xf numFmtId="0" fontId="3" fillId="0" borderId="13" xfId="1" applyFont="1" applyBorder="1" applyAlignment="1">
      <alignment horizontal="left" vertical="top" wrapText="1"/>
    </xf>
    <xf numFmtId="0" fontId="3" fillId="0" borderId="7" xfId="1" applyFont="1" applyBorder="1" applyAlignment="1">
      <alignment horizontal="left" vertical="top" wrapText="1"/>
    </xf>
    <xf numFmtId="0" fontId="3" fillId="0" borderId="28" xfId="1" applyFont="1" applyBorder="1" applyAlignment="1">
      <alignment horizontal="left" vertical="top" wrapText="1"/>
    </xf>
    <xf numFmtId="0" fontId="3" fillId="4" borderId="53" xfId="1" applyFont="1" applyFill="1" applyBorder="1" applyAlignment="1">
      <alignment horizontal="center" vertical="top" wrapText="1"/>
    </xf>
    <xf numFmtId="0" fontId="3" fillId="4" borderId="12" xfId="1" applyFont="1" applyFill="1" applyBorder="1" applyAlignment="1">
      <alignment horizontal="center" vertical="top" wrapText="1"/>
    </xf>
    <xf numFmtId="0" fontId="3" fillId="4" borderId="58" xfId="1" applyFont="1" applyFill="1" applyBorder="1" applyAlignment="1">
      <alignment horizontal="center" vertical="top" wrapText="1"/>
    </xf>
    <xf numFmtId="0" fontId="7" fillId="4" borderId="22" xfId="1" applyFont="1" applyFill="1" applyBorder="1" applyAlignment="1">
      <alignment horizontal="left" vertical="center" wrapText="1"/>
    </xf>
    <xf numFmtId="0" fontId="7" fillId="4" borderId="33" xfId="1" applyFont="1" applyFill="1" applyBorder="1" applyAlignment="1">
      <alignment horizontal="left" vertical="center" wrapText="1"/>
    </xf>
    <xf numFmtId="0" fontId="7" fillId="4" borderId="34" xfId="1" applyFont="1" applyFill="1" applyBorder="1" applyAlignment="1">
      <alignment horizontal="left" vertical="center" wrapText="1"/>
    </xf>
    <xf numFmtId="0" fontId="7" fillId="4" borderId="35" xfId="1" applyFont="1" applyFill="1" applyBorder="1" applyAlignment="1">
      <alignment horizontal="left" vertical="center" wrapText="1"/>
    </xf>
    <xf numFmtId="0" fontId="7" fillId="4" borderId="0" xfId="1" applyFont="1" applyFill="1" applyAlignment="1">
      <alignment horizontal="left" vertical="center" wrapText="1"/>
    </xf>
    <xf numFmtId="0" fontId="7" fillId="4" borderId="36" xfId="1" applyFont="1" applyFill="1" applyBorder="1" applyAlignment="1">
      <alignment horizontal="left" vertical="center" wrapText="1"/>
    </xf>
    <xf numFmtId="0" fontId="7" fillId="4" borderId="37" xfId="1" applyFont="1" applyFill="1" applyBorder="1" applyAlignment="1">
      <alignment horizontal="left" vertical="center" wrapText="1"/>
    </xf>
    <xf numFmtId="0" fontId="7" fillId="4" borderId="38" xfId="1" applyFont="1" applyFill="1" applyBorder="1" applyAlignment="1">
      <alignment horizontal="left" vertical="center" wrapText="1"/>
    </xf>
    <xf numFmtId="0" fontId="7" fillId="4" borderId="39" xfId="1" applyFont="1" applyFill="1" applyBorder="1" applyAlignment="1">
      <alignment horizontal="left" vertical="center" wrapText="1"/>
    </xf>
    <xf numFmtId="0" fontId="3" fillId="0" borderId="0" xfId="1" applyFont="1" applyAlignment="1">
      <alignment horizontal="left" vertical="top" wrapText="1"/>
    </xf>
    <xf numFmtId="0" fontId="3" fillId="0" borderId="85" xfId="1" applyFont="1" applyBorder="1" applyAlignment="1">
      <alignment horizontal="left" vertical="top" wrapText="1"/>
    </xf>
    <xf numFmtId="0" fontId="7" fillId="0" borderId="20" xfId="1" applyFont="1" applyBorder="1" applyAlignment="1" applyProtection="1">
      <alignment horizontal="center" vertical="top" wrapText="1"/>
      <protection locked="0"/>
    </xf>
    <xf numFmtId="0" fontId="7" fillId="0" borderId="21" xfId="1" applyFont="1" applyBorder="1" applyAlignment="1" applyProtection="1">
      <alignment horizontal="center" vertical="top" wrapText="1"/>
      <protection locked="0"/>
    </xf>
    <xf numFmtId="0" fontId="3" fillId="4" borderId="29" xfId="1" applyFont="1" applyFill="1" applyBorder="1" applyAlignment="1">
      <alignment horizontal="center" vertical="top" wrapText="1"/>
    </xf>
    <xf numFmtId="0" fontId="3" fillId="4" borderId="30" xfId="1" applyFont="1" applyFill="1" applyBorder="1" applyAlignment="1">
      <alignment horizontal="center" vertical="top" wrapText="1"/>
    </xf>
    <xf numFmtId="0" fontId="3" fillId="4" borderId="32" xfId="1" applyFont="1" applyFill="1" applyBorder="1" applyAlignment="1">
      <alignment horizontal="center" vertical="top" wrapText="1"/>
    </xf>
    <xf numFmtId="0" fontId="3" fillId="0" borderId="47" xfId="1" applyFont="1" applyBorder="1" applyAlignment="1">
      <alignment horizontal="left" vertical="top" wrapText="1"/>
    </xf>
    <xf numFmtId="0" fontId="3" fillId="0" borderId="48" xfId="1" applyFont="1" applyBorder="1" applyAlignment="1">
      <alignment horizontal="left" vertical="top" wrapText="1"/>
    </xf>
    <xf numFmtId="0" fontId="3" fillId="0" borderId="49" xfId="1" applyFont="1" applyBorder="1" applyAlignment="1">
      <alignment horizontal="left" vertical="top" wrapText="1"/>
    </xf>
    <xf numFmtId="0" fontId="3" fillId="0" borderId="46" xfId="1" applyFont="1" applyBorder="1" applyAlignment="1">
      <alignment horizontal="left" vertical="top" wrapText="1"/>
    </xf>
    <xf numFmtId="0" fontId="3" fillId="0" borderId="50" xfId="1" applyFont="1" applyBorder="1" applyAlignment="1">
      <alignment horizontal="left" vertical="top" wrapText="1"/>
    </xf>
    <xf numFmtId="0" fontId="7" fillId="0" borderId="55" xfId="1" applyFont="1" applyBorder="1" applyAlignment="1" applyProtection="1">
      <alignment horizontal="center" vertical="top" wrapText="1"/>
      <protection locked="0"/>
    </xf>
    <xf numFmtId="0" fontId="7" fillId="0" borderId="56" xfId="1" applyFont="1" applyBorder="1" applyAlignment="1" applyProtection="1">
      <alignment horizontal="center" vertical="top" wrapText="1"/>
      <protection locked="0"/>
    </xf>
    <xf numFmtId="0" fontId="7" fillId="0" borderId="57" xfId="1" applyFont="1" applyBorder="1" applyAlignment="1" applyProtection="1">
      <alignment horizontal="center" vertical="top" wrapText="1"/>
      <protection locked="0"/>
    </xf>
    <xf numFmtId="0" fontId="3" fillId="0" borderId="53" xfId="1" applyFont="1" applyBorder="1" applyAlignment="1">
      <alignment horizontal="left" vertical="top" wrapText="1"/>
    </xf>
    <xf numFmtId="0" fontId="3" fillId="0" borderId="54" xfId="1" applyFont="1" applyBorder="1" applyAlignment="1">
      <alignment horizontal="left" vertical="top" wrapText="1"/>
    </xf>
    <xf numFmtId="0" fontId="46" fillId="0" borderId="0" xfId="0" applyFont="1" applyAlignment="1">
      <alignment horizontal="left" vertical="center"/>
    </xf>
    <xf numFmtId="0" fontId="3" fillId="0" borderId="1" xfId="1" applyFont="1" applyBorder="1" applyAlignment="1">
      <alignment horizontal="left" vertical="top" wrapText="1"/>
    </xf>
    <xf numFmtId="0" fontId="3" fillId="0" borderId="2" xfId="1" applyFont="1" applyBorder="1" applyAlignment="1">
      <alignment horizontal="left" vertical="top" wrapText="1"/>
    </xf>
    <xf numFmtId="0" fontId="3" fillId="0" borderId="3" xfId="1" applyFont="1" applyBorder="1" applyAlignment="1">
      <alignment horizontal="left" vertical="top" wrapText="1"/>
    </xf>
    <xf numFmtId="0" fontId="3" fillId="0" borderId="11" xfId="1" applyFont="1" applyBorder="1" applyAlignment="1">
      <alignment horizontal="left" vertical="top" wrapText="1"/>
    </xf>
    <xf numFmtId="0" fontId="7" fillId="0" borderId="11" xfId="1" applyFont="1" applyBorder="1" applyAlignment="1" applyProtection="1">
      <alignment horizontal="left" vertical="top" wrapText="1"/>
      <protection locked="0"/>
    </xf>
    <xf numFmtId="0" fontId="7" fillId="0" borderId="13" xfId="1" applyFont="1" applyBorder="1" applyAlignment="1" applyProtection="1">
      <alignment horizontal="left" vertical="top" wrapText="1"/>
      <protection locked="0"/>
    </xf>
    <xf numFmtId="0" fontId="7" fillId="0" borderId="11" xfId="1" applyFont="1" applyBorder="1" applyAlignment="1" applyProtection="1">
      <alignment horizontal="center" vertical="top" wrapText="1"/>
      <protection locked="0"/>
    </xf>
    <xf numFmtId="0" fontId="7" fillId="0" borderId="13" xfId="1" applyFont="1" applyBorder="1" applyAlignment="1" applyProtection="1">
      <alignment horizontal="center" vertical="top" wrapText="1"/>
      <protection locked="0"/>
    </xf>
    <xf numFmtId="0" fontId="17" fillId="0" borderId="0" xfId="0" applyFont="1" applyAlignment="1">
      <alignment horizontal="left" vertical="center" wrapText="1"/>
    </xf>
    <xf numFmtId="0" fontId="17" fillId="0" borderId="64" xfId="0" applyFont="1" applyBorder="1" applyAlignment="1" applyProtection="1">
      <alignment horizontal="center" vertical="center"/>
      <protection locked="0"/>
    </xf>
    <xf numFmtId="0" fontId="17" fillId="0" borderId="33" xfId="0" applyFont="1" applyBorder="1" applyAlignment="1" applyProtection="1">
      <alignment horizontal="center" vertical="center"/>
      <protection locked="0"/>
    </xf>
    <xf numFmtId="0" fontId="17" fillId="0" borderId="34" xfId="0" applyFont="1" applyBorder="1" applyAlignment="1" applyProtection="1">
      <alignment horizontal="center" vertical="center"/>
      <protection locked="0"/>
    </xf>
    <xf numFmtId="0" fontId="17" fillId="0" borderId="65" xfId="0" applyFont="1" applyBorder="1" applyAlignment="1" applyProtection="1">
      <alignment horizontal="center" vertical="center"/>
      <protection locked="0"/>
    </xf>
    <xf numFmtId="0" fontId="17" fillId="0" borderId="0" xfId="0" applyFont="1" applyAlignment="1" applyProtection="1">
      <alignment horizontal="center" vertical="center"/>
      <protection locked="0"/>
    </xf>
    <xf numFmtId="0" fontId="17" fillId="0" borderId="36" xfId="0" applyFont="1" applyBorder="1" applyAlignment="1" applyProtection="1">
      <alignment horizontal="center" vertical="center"/>
      <protection locked="0"/>
    </xf>
    <xf numFmtId="0" fontId="17" fillId="0" borderId="66" xfId="0" applyFont="1" applyBorder="1" applyAlignment="1" applyProtection="1">
      <alignment horizontal="center" vertical="center"/>
      <protection locked="0"/>
    </xf>
    <xf numFmtId="0" fontId="17" fillId="0" borderId="67" xfId="0" applyFont="1" applyBorder="1" applyAlignment="1" applyProtection="1">
      <alignment horizontal="center" vertical="center"/>
      <protection locked="0"/>
    </xf>
    <xf numFmtId="0" fontId="17" fillId="0" borderId="68" xfId="0" applyFont="1" applyBorder="1" applyAlignment="1" applyProtection="1">
      <alignment horizontal="center" vertical="center"/>
      <protection locked="0"/>
    </xf>
  </cellXfs>
  <cellStyles count="2">
    <cellStyle name="標準" xfId="0" builtinId="0"/>
    <cellStyle name="標準 2" xfId="1" xr:uid="{F3AC67A9-1D6D-4477-8B41-3D148A5ECFD0}"/>
  </cellStyles>
  <dxfs count="34">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ill>
        <patternFill>
          <bgColor theme="5" tint="0.79998168889431442"/>
        </patternFill>
      </fill>
    </dxf>
    <dxf>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238125</xdr:colOff>
      <xdr:row>24</xdr:row>
      <xdr:rowOff>104775</xdr:rowOff>
    </xdr:from>
    <xdr:to>
      <xdr:col>8</xdr:col>
      <xdr:colOff>323850</xdr:colOff>
      <xdr:row>40</xdr:row>
      <xdr:rowOff>76200</xdr:rowOff>
    </xdr:to>
    <xdr:pic>
      <xdr:nvPicPr>
        <xdr:cNvPr id="2" name="図 1">
          <a:extLst>
            <a:ext uri="{FF2B5EF4-FFF2-40B4-BE49-F238E27FC236}">
              <a16:creationId xmlns:a16="http://schemas.microsoft.com/office/drawing/2014/main" id="{D439BFD3-9ED1-A4DA-AC2C-79322689AE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5" y="5000625"/>
          <a:ext cx="6181725" cy="305752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0</xdr:col>
      <xdr:colOff>628650</xdr:colOff>
      <xdr:row>26</xdr:row>
      <xdr:rowOff>66675</xdr:rowOff>
    </xdr:from>
    <xdr:to>
      <xdr:col>2</xdr:col>
      <xdr:colOff>47625</xdr:colOff>
      <xdr:row>26</xdr:row>
      <xdr:rowOff>209550</xdr:rowOff>
    </xdr:to>
    <xdr:sp macro="" textlink="">
      <xdr:nvSpPr>
        <xdr:cNvPr id="3" name="正方形/長方形 2">
          <a:extLst>
            <a:ext uri="{FF2B5EF4-FFF2-40B4-BE49-F238E27FC236}">
              <a16:creationId xmlns:a16="http://schemas.microsoft.com/office/drawing/2014/main" id="{3466BA17-06F0-6DB7-810D-59844790EAA7}"/>
            </a:ext>
            <a:ext uri="{147F2762-F138-4A5C-976F-8EAC2B608ADB}">
              <a16:predDERef xmlns:a16="http://schemas.microsoft.com/office/drawing/2014/main" pred="{D439BFD3-9ED1-A4DA-AC2C-79322689AEBE}"/>
            </a:ext>
          </a:extLst>
        </xdr:cNvPr>
        <xdr:cNvSpPr/>
      </xdr:nvSpPr>
      <xdr:spPr>
        <a:xfrm>
          <a:off x="628650" y="5343525"/>
          <a:ext cx="942975" cy="142875"/>
        </a:xfrm>
        <a:prstGeom prst="rect">
          <a:avLst/>
        </a:prstGeom>
        <a:noFill/>
        <a:ln>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xdr:col>
      <xdr:colOff>78193</xdr:colOff>
      <xdr:row>25</xdr:row>
      <xdr:rowOff>170268</xdr:rowOff>
    </xdr:from>
    <xdr:to>
      <xdr:col>8</xdr:col>
      <xdr:colOff>729438</xdr:colOff>
      <xdr:row>27</xdr:row>
      <xdr:rowOff>83141</xdr:rowOff>
    </xdr:to>
    <xdr:sp macro="" textlink="">
      <xdr:nvSpPr>
        <xdr:cNvPr id="4" name="テキスト ボックス 3">
          <a:extLst>
            <a:ext uri="{FF2B5EF4-FFF2-40B4-BE49-F238E27FC236}">
              <a16:creationId xmlns:a16="http://schemas.microsoft.com/office/drawing/2014/main" id="{476B46B9-5621-7F4C-C2FF-9A017168FD35}"/>
            </a:ext>
            <a:ext uri="{147F2762-F138-4A5C-976F-8EAC2B608ADB}">
              <a16:predDERef xmlns:a16="http://schemas.microsoft.com/office/drawing/2014/main" pred="{3466BA17-06F0-6DB7-810D-59844790EAA7}"/>
            </a:ext>
          </a:extLst>
        </xdr:cNvPr>
        <xdr:cNvSpPr txBox="1"/>
      </xdr:nvSpPr>
      <xdr:spPr>
        <a:xfrm>
          <a:off x="1602193" y="5256618"/>
          <a:ext cx="5223245" cy="331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latin typeface="ＭＳ Ｐゴシック" panose="020B0600070205080204" pitchFamily="50" charset="-128"/>
              <a:ea typeface="ＭＳ Ｐゴシック" panose="020B0600070205080204" pitchFamily="50" charset="-128"/>
            </a:rPr>
            <a:t>ここのメールアドレスが表示された状態でスクリーンショットください</a:t>
          </a:r>
        </a:p>
      </xdr:txBody>
    </xdr:sp>
    <xdr:clientData/>
  </xdr:twoCellAnchor>
  <xdr:twoCellAnchor editAs="oneCell">
    <xdr:from>
      <xdr:col>8</xdr:col>
      <xdr:colOff>428625</xdr:colOff>
      <xdr:row>24</xdr:row>
      <xdr:rowOff>114300</xdr:rowOff>
    </xdr:from>
    <xdr:to>
      <xdr:col>14</xdr:col>
      <xdr:colOff>654050</xdr:colOff>
      <xdr:row>40</xdr:row>
      <xdr:rowOff>76200</xdr:rowOff>
    </xdr:to>
    <xdr:pic>
      <xdr:nvPicPr>
        <xdr:cNvPr id="6" name="図 5">
          <a:extLst>
            <a:ext uri="{FF2B5EF4-FFF2-40B4-BE49-F238E27FC236}">
              <a16:creationId xmlns:a16="http://schemas.microsoft.com/office/drawing/2014/main" id="{93FF932F-CADA-0568-C896-75F0D27B898A}"/>
            </a:ext>
            <a:ext uri="{147F2762-F138-4A5C-976F-8EAC2B608ADB}">
              <a16:predDERef xmlns:a16="http://schemas.microsoft.com/office/drawing/2014/main" pred="{476B46B9-5621-7F4C-C2FF-9A017168FD35}"/>
            </a:ext>
          </a:extLst>
        </xdr:cNvPr>
        <xdr:cNvPicPr>
          <a:picLocks noChangeAspect="1"/>
        </xdr:cNvPicPr>
      </xdr:nvPicPr>
      <xdr:blipFill>
        <a:blip xmlns:r="http://schemas.openxmlformats.org/officeDocument/2006/relationships" r:embed="rId2"/>
        <a:stretch>
          <a:fillRect/>
        </a:stretch>
      </xdr:blipFill>
      <xdr:spPr>
        <a:xfrm>
          <a:off x="6524625" y="5010150"/>
          <a:ext cx="4800600" cy="3048000"/>
        </a:xfrm>
        <a:prstGeom prst="rect">
          <a:avLst/>
        </a:prstGeom>
      </xdr:spPr>
    </xdr:pic>
    <xdr:clientData/>
  </xdr:twoCellAnchor>
  <xdr:twoCellAnchor>
    <xdr:from>
      <xdr:col>10</xdr:col>
      <xdr:colOff>9525</xdr:colOff>
      <xdr:row>30</xdr:row>
      <xdr:rowOff>133350</xdr:rowOff>
    </xdr:from>
    <xdr:to>
      <xdr:col>10</xdr:col>
      <xdr:colOff>723900</xdr:colOff>
      <xdr:row>31</xdr:row>
      <xdr:rowOff>85725</xdr:rowOff>
    </xdr:to>
    <xdr:sp macro="" textlink="">
      <xdr:nvSpPr>
        <xdr:cNvPr id="7" name="四角形 6">
          <a:extLst>
            <a:ext uri="{FF2B5EF4-FFF2-40B4-BE49-F238E27FC236}">
              <a16:creationId xmlns:a16="http://schemas.microsoft.com/office/drawing/2014/main" id="{26B74AA9-174C-48D1-82B5-2BC3269EF8BA}"/>
            </a:ext>
            <a:ext uri="{147F2762-F138-4A5C-976F-8EAC2B608ADB}">
              <a16:predDERef xmlns:a16="http://schemas.microsoft.com/office/drawing/2014/main" pred="{93FF932F-CADA-0568-C896-75F0D27B898A}"/>
            </a:ext>
          </a:extLst>
        </xdr:cNvPr>
        <xdr:cNvSpPr/>
      </xdr:nvSpPr>
      <xdr:spPr>
        <a:xfrm>
          <a:off x="7629525" y="6210300"/>
          <a:ext cx="714375" cy="142875"/>
        </a:xfrm>
        <a:prstGeom prst="rect">
          <a:avLst/>
        </a:prstGeom>
        <a:noFill/>
        <a:ln>
          <a:solidFill>
            <a:srgbClr val="FF0000"/>
          </a:solidFill>
        </a:ln>
      </xdr:spPr>
      <xdr:style>
        <a:lnRef idx="2">
          <a:schemeClr val="accent2"/>
        </a:lnRef>
        <a:fillRef idx="1">
          <a:schemeClr val="lt1"/>
        </a:fillRef>
        <a:effectRef idx="0">
          <a:schemeClr val="accent2"/>
        </a:effectRef>
        <a:fontRef idx="minor">
          <a:schemeClr val="dk1"/>
        </a:fontRef>
      </xdr:style>
      <xdr:txBody>
        <a:bodyPr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kumimoji="1" lang="ja-JP" altLang="en-US" sz="1100"/>
        </a:p>
      </xdr:txBody>
    </xdr:sp>
    <xdr:clientData/>
  </xdr:twoCellAnchor>
  <xdr:twoCellAnchor>
    <xdr:from>
      <xdr:col>9</xdr:col>
      <xdr:colOff>292100</xdr:colOff>
      <xdr:row>31</xdr:row>
      <xdr:rowOff>95250</xdr:rowOff>
    </xdr:from>
    <xdr:to>
      <xdr:col>16</xdr:col>
      <xdr:colOff>181345</xdr:colOff>
      <xdr:row>33</xdr:row>
      <xdr:rowOff>49398</xdr:rowOff>
    </xdr:to>
    <xdr:sp macro="" textlink="">
      <xdr:nvSpPr>
        <xdr:cNvPr id="8" name="テキスト ボックス 7">
          <a:extLst>
            <a:ext uri="{FF2B5EF4-FFF2-40B4-BE49-F238E27FC236}">
              <a16:creationId xmlns:a16="http://schemas.microsoft.com/office/drawing/2014/main" id="{4DF81498-CF5D-4B86-99B6-DFAB949BB221}"/>
            </a:ext>
            <a:ext uri="{147F2762-F138-4A5C-976F-8EAC2B608ADB}">
              <a16:predDERef xmlns:a16="http://schemas.microsoft.com/office/drawing/2014/main" pred="{26B74AA9-174C-48D1-82B5-2BC3269EF8BA}"/>
            </a:ext>
          </a:extLst>
        </xdr:cNvPr>
        <xdr:cNvSpPr txBox="1"/>
      </xdr:nvSpPr>
      <xdr:spPr>
        <a:xfrm>
          <a:off x="7568757" y="6308651"/>
          <a:ext cx="5548867" cy="330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kumimoji="1" lang="ja-JP" altLang="en-US" sz="1100" b="1">
              <a:solidFill>
                <a:srgbClr val="FF0000"/>
              </a:solidFill>
              <a:latin typeface="ＭＳ Ｐゴシック" panose="020B0600070205080204" pitchFamily="50" charset="-128"/>
              <a:ea typeface="ＭＳ Ｐゴシック" panose="020B0600070205080204" pitchFamily="50" charset="-128"/>
            </a:rPr>
            <a:t>ここのメールアドレスが表示された状態でスクリーンショットください</a:t>
          </a:r>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8DEBF-F4D8-4B49-BD01-605EFCF09483}">
  <dimension ref="A1:F39"/>
  <sheetViews>
    <sheetView showGridLines="0" zoomScale="81" zoomScaleNormal="100" workbookViewId="0">
      <selection activeCell="B14" sqref="B14:C14"/>
    </sheetView>
  </sheetViews>
  <sheetFormatPr defaultRowHeight="15"/>
  <cols>
    <col min="1" max="1" width="10.640625" style="19" customWidth="1"/>
    <col min="2" max="2" width="22.140625" style="19" customWidth="1"/>
    <col min="3" max="3" width="71.140625" style="19" customWidth="1"/>
    <col min="4" max="4" width="14.140625" style="19" customWidth="1"/>
    <col min="5" max="5" width="58.140625" style="79" customWidth="1"/>
  </cols>
  <sheetData>
    <row r="1" spans="1:6" ht="16">
      <c r="A1" s="76" t="s">
        <v>0</v>
      </c>
      <c r="B1" s="20" t="s">
        <v>1</v>
      </c>
      <c r="C1" s="77" t="s">
        <v>2</v>
      </c>
      <c r="D1" s="78"/>
    </row>
    <row r="2" spans="1:6" s="15" customFormat="1" ht="54" customHeight="1">
      <c r="A2" s="80">
        <v>1</v>
      </c>
      <c r="B2" s="99" t="s">
        <v>3</v>
      </c>
      <c r="C2" s="17" t="s">
        <v>4</v>
      </c>
      <c r="D2" s="19"/>
      <c r="E2" s="81"/>
    </row>
    <row r="3" spans="1:6" s="15" customFormat="1" ht="83.25" customHeight="1">
      <c r="A3" s="80">
        <v>2</v>
      </c>
      <c r="B3" s="99" t="s">
        <v>5</v>
      </c>
      <c r="C3" s="17" t="s">
        <v>6</v>
      </c>
      <c r="D3" s="19"/>
      <c r="E3" s="81"/>
    </row>
    <row r="4" spans="1:6" s="15" customFormat="1" ht="136" customHeight="1">
      <c r="A4" s="80">
        <v>3</v>
      </c>
      <c r="B4" s="99" t="s">
        <v>7</v>
      </c>
      <c r="C4" s="17" t="s">
        <v>8</v>
      </c>
      <c r="D4" s="19"/>
      <c r="E4" s="81"/>
    </row>
    <row r="5" spans="1:6" ht="33.65" customHeight="1">
      <c r="A5" s="80">
        <v>4</v>
      </c>
      <c r="B5" s="99" t="s">
        <v>9</v>
      </c>
      <c r="C5" s="17" t="s">
        <v>10</v>
      </c>
    </row>
    <row r="6" spans="1:6" ht="39">
      <c r="A6" s="82">
        <v>5</v>
      </c>
      <c r="B6" s="36" t="s">
        <v>11</v>
      </c>
      <c r="C6" s="37" t="s">
        <v>12</v>
      </c>
    </row>
    <row r="7" spans="1:6" ht="52.5" thickBot="1">
      <c r="A7" s="83">
        <v>6</v>
      </c>
      <c r="B7" s="21" t="s">
        <v>13</v>
      </c>
      <c r="C7" s="18" t="s">
        <v>14</v>
      </c>
    </row>
    <row r="9" spans="1:6">
      <c r="A9" s="87" t="s">
        <v>15</v>
      </c>
      <c r="B9" s="87"/>
      <c r="C9" s="87"/>
      <c r="D9" s="87"/>
      <c r="E9" s="88"/>
    </row>
    <row r="10" spans="1:6" s="12" customFormat="1" ht="13">
      <c r="A10" s="100" t="s">
        <v>16</v>
      </c>
      <c r="B10" s="179" t="s">
        <v>17</v>
      </c>
      <c r="C10" s="179"/>
      <c r="D10" s="180" t="s">
        <v>18</v>
      </c>
      <c r="E10" s="180"/>
    </row>
    <row r="11" spans="1:6" s="12" customFormat="1" ht="27" customHeight="1">
      <c r="A11" s="13" t="s">
        <v>19</v>
      </c>
      <c r="B11" s="170" t="s">
        <v>20</v>
      </c>
      <c r="C11" s="170"/>
      <c r="D11" s="181" t="s">
        <v>21</v>
      </c>
      <c r="E11" s="174"/>
    </row>
    <row r="12" spans="1:6" s="12" customFormat="1" ht="31" customHeight="1">
      <c r="A12" s="13" t="s">
        <v>22</v>
      </c>
      <c r="B12" s="170" t="s">
        <v>23</v>
      </c>
      <c r="C12" s="170"/>
      <c r="D12" s="181" t="s">
        <v>24</v>
      </c>
      <c r="E12" s="174"/>
      <c r="F12"/>
    </row>
    <row r="13" spans="1:6" s="12" customFormat="1" ht="29.5" customHeight="1">
      <c r="A13" s="13" t="s">
        <v>25</v>
      </c>
      <c r="B13" s="170" t="s">
        <v>26</v>
      </c>
      <c r="C13" s="170"/>
      <c r="D13" s="181" t="s">
        <v>27</v>
      </c>
      <c r="E13" s="174"/>
      <c r="F13"/>
    </row>
    <row r="14" spans="1:6" s="12" customFormat="1" ht="39.5" customHeight="1">
      <c r="A14" s="13" t="s">
        <v>28</v>
      </c>
      <c r="B14" s="170" t="s">
        <v>29</v>
      </c>
      <c r="C14" s="170"/>
      <c r="D14" s="181" t="s">
        <v>30</v>
      </c>
      <c r="E14" s="174"/>
      <c r="F14"/>
    </row>
    <row r="15" spans="1:6" s="12" customFormat="1" ht="28.5" customHeight="1">
      <c r="A15" s="13" t="s">
        <v>31</v>
      </c>
      <c r="B15" s="170" t="s">
        <v>32</v>
      </c>
      <c r="C15" s="170"/>
      <c r="D15" s="181" t="s">
        <v>33</v>
      </c>
      <c r="E15" s="174"/>
      <c r="F15"/>
    </row>
    <row r="16" spans="1:6" s="12" customFormat="1" ht="48" customHeight="1">
      <c r="A16" s="13" t="s">
        <v>34</v>
      </c>
      <c r="B16" s="170" t="s">
        <v>35</v>
      </c>
      <c r="C16" s="170"/>
      <c r="D16" s="181" t="s">
        <v>36</v>
      </c>
      <c r="E16" s="174"/>
      <c r="F16"/>
    </row>
    <row r="17" spans="1:6" s="12" customFormat="1" ht="30" customHeight="1">
      <c r="A17" s="13" t="s">
        <v>37</v>
      </c>
      <c r="B17" s="170" t="s">
        <v>38</v>
      </c>
      <c r="C17" s="170"/>
      <c r="D17" s="181" t="s">
        <v>39</v>
      </c>
      <c r="E17" s="174"/>
      <c r="F17"/>
    </row>
    <row r="18" spans="1:6" s="12" customFormat="1" ht="30" customHeight="1">
      <c r="A18" s="13" t="s">
        <v>40</v>
      </c>
      <c r="B18" s="170" t="s">
        <v>41</v>
      </c>
      <c r="C18" s="170"/>
      <c r="D18" s="181" t="s">
        <v>42</v>
      </c>
      <c r="E18" s="174"/>
      <c r="F18"/>
    </row>
    <row r="19" spans="1:6" s="12" customFormat="1" ht="29.5" customHeight="1">
      <c r="A19" s="13" t="s">
        <v>43</v>
      </c>
      <c r="B19" s="170" t="s">
        <v>44</v>
      </c>
      <c r="C19" s="170"/>
      <c r="D19" s="181" t="s">
        <v>45</v>
      </c>
      <c r="E19" s="174"/>
      <c r="F19"/>
    </row>
    <row r="20" spans="1:6" s="12" customFormat="1" ht="15" customHeight="1">
      <c r="A20" s="13" t="s">
        <v>46</v>
      </c>
      <c r="B20" s="170" t="s">
        <v>47</v>
      </c>
      <c r="C20" s="170"/>
      <c r="D20" s="181" t="s">
        <v>48</v>
      </c>
      <c r="E20" s="174"/>
      <c r="F20"/>
    </row>
    <row r="21" spans="1:6">
      <c r="E21" s="103"/>
    </row>
    <row r="22" spans="1:6">
      <c r="A22" s="87" t="s">
        <v>49</v>
      </c>
      <c r="B22" s="87"/>
      <c r="C22" s="87"/>
      <c r="D22" s="87"/>
      <c r="E22" s="88"/>
    </row>
    <row r="23" spans="1:6">
      <c r="A23" s="22" t="s">
        <v>50</v>
      </c>
      <c r="B23" s="22" t="s">
        <v>51</v>
      </c>
      <c r="C23" s="22" t="s">
        <v>52</v>
      </c>
      <c r="D23" s="175" t="s">
        <v>53</v>
      </c>
      <c r="E23" s="176"/>
    </row>
    <row r="24" spans="1:6" s="14" customFormat="1" ht="29.5" customHeight="1">
      <c r="A24" s="16" t="s">
        <v>54</v>
      </c>
      <c r="B24" s="16" t="s">
        <v>55</v>
      </c>
      <c r="C24" s="16" t="s">
        <v>56</v>
      </c>
      <c r="D24" s="177" t="s">
        <v>57</v>
      </c>
      <c r="E24" s="178"/>
    </row>
    <row r="25" spans="1:6" s="14" customFormat="1" ht="42" customHeight="1">
      <c r="A25" s="16" t="s">
        <v>58</v>
      </c>
      <c r="B25" s="16" t="s">
        <v>59</v>
      </c>
      <c r="C25" s="16" t="s">
        <v>60</v>
      </c>
      <c r="D25" s="177" t="s">
        <v>61</v>
      </c>
      <c r="E25" s="178"/>
    </row>
    <row r="26" spans="1:6" s="14" customFormat="1" ht="40" customHeight="1">
      <c r="A26" s="16" t="s">
        <v>58</v>
      </c>
      <c r="B26" s="16" t="s">
        <v>62</v>
      </c>
      <c r="C26" s="16" t="s">
        <v>63</v>
      </c>
      <c r="D26" s="177" t="s">
        <v>64</v>
      </c>
      <c r="E26" s="178"/>
    </row>
    <row r="27" spans="1:6" s="14" customFormat="1" ht="34.5" customHeight="1">
      <c r="A27" s="16" t="s">
        <v>58</v>
      </c>
      <c r="B27" s="91" t="s">
        <v>65</v>
      </c>
      <c r="C27" s="91" t="s">
        <v>66</v>
      </c>
      <c r="D27" s="177" t="s">
        <v>67</v>
      </c>
      <c r="E27" s="178"/>
    </row>
    <row r="28" spans="1:6" s="14" customFormat="1" ht="45.75" customHeight="1">
      <c r="A28" s="101" t="s">
        <v>68</v>
      </c>
      <c r="B28" s="90" t="s">
        <v>69</v>
      </c>
      <c r="C28" s="94" t="s">
        <v>70</v>
      </c>
      <c r="D28" s="185" t="s">
        <v>71</v>
      </c>
      <c r="E28" s="178"/>
    </row>
    <row r="29" spans="1:6" s="14" customFormat="1" ht="43.5" customHeight="1">
      <c r="A29" s="16" t="s">
        <v>68</v>
      </c>
      <c r="B29" s="92" t="s">
        <v>72</v>
      </c>
      <c r="C29" s="92" t="s">
        <v>73</v>
      </c>
      <c r="D29" s="177" t="s">
        <v>74</v>
      </c>
      <c r="E29" s="178"/>
    </row>
    <row r="30" spans="1:6" s="14" customFormat="1" ht="44.15" customHeight="1">
      <c r="A30" s="16" t="s">
        <v>68</v>
      </c>
      <c r="B30" s="16" t="s">
        <v>75</v>
      </c>
      <c r="C30" s="16" t="s">
        <v>76</v>
      </c>
      <c r="D30" s="177" t="s">
        <v>77</v>
      </c>
      <c r="E30" s="178"/>
    </row>
    <row r="31" spans="1:6" s="14" customFormat="1" ht="37.5" customHeight="1">
      <c r="A31" s="91" t="s">
        <v>68</v>
      </c>
      <c r="B31" s="91" t="s">
        <v>78</v>
      </c>
      <c r="C31" s="91" t="s">
        <v>79</v>
      </c>
      <c r="D31" s="177" t="s">
        <v>80</v>
      </c>
      <c r="E31" s="178"/>
    </row>
    <row r="32" spans="1:6" s="14" customFormat="1" ht="37.5" customHeight="1">
      <c r="A32" s="90" t="s">
        <v>81</v>
      </c>
      <c r="B32" s="90" t="s">
        <v>81</v>
      </c>
      <c r="C32" s="90" t="s">
        <v>82</v>
      </c>
      <c r="D32" s="185" t="s">
        <v>83</v>
      </c>
      <c r="E32" s="178"/>
    </row>
    <row r="33" spans="1:5" s="14" customFormat="1">
      <c r="A33" s="171" t="s">
        <v>84</v>
      </c>
      <c r="B33" s="172"/>
      <c r="C33" s="172"/>
      <c r="D33" s="173"/>
      <c r="E33" s="174"/>
    </row>
    <row r="35" spans="1:5">
      <c r="A35" s="87" t="s">
        <v>85</v>
      </c>
      <c r="B35" s="87"/>
      <c r="C35" s="87"/>
      <c r="D35" s="87"/>
      <c r="E35" s="88"/>
    </row>
    <row r="36" spans="1:5" ht="371.15" customHeight="1">
      <c r="A36" s="182" t="s">
        <v>86</v>
      </c>
      <c r="B36" s="183"/>
      <c r="C36" s="183"/>
      <c r="D36" s="183"/>
      <c r="E36" s="184"/>
    </row>
    <row r="38" spans="1:5">
      <c r="A38" s="93" t="s">
        <v>87</v>
      </c>
    </row>
    <row r="39" spans="1:5" ht="299.5" customHeight="1">
      <c r="A39" s="182" t="s">
        <v>88</v>
      </c>
      <c r="B39" s="183"/>
      <c r="C39" s="183"/>
      <c r="D39" s="183"/>
      <c r="E39" s="184"/>
    </row>
  </sheetData>
  <sheetProtection algorithmName="SHA-512" hashValue="XRBE//rhMUoP+2bI80eHFwx4YMFJGiVwFxgkr/mFHBqS5OjU3m9NWKOnyyBfRrVN2NHjGi48mcUo80ntZ+Um2A==" saltValue="ec8Sxs0GXJf07Q5MIQG18g==" spinCount="100000" sheet="1" objects="1" scenarios="1" formatColumns="0" formatRows="0"/>
  <mergeCells count="35">
    <mergeCell ref="A39:E39"/>
    <mergeCell ref="D20:E20"/>
    <mergeCell ref="D15:E15"/>
    <mergeCell ref="D16:E16"/>
    <mergeCell ref="D17:E17"/>
    <mergeCell ref="D18:E18"/>
    <mergeCell ref="D19:E19"/>
    <mergeCell ref="D25:E25"/>
    <mergeCell ref="D31:E31"/>
    <mergeCell ref="D26:E26"/>
    <mergeCell ref="D27:E27"/>
    <mergeCell ref="D28:E28"/>
    <mergeCell ref="D29:E29"/>
    <mergeCell ref="D30:E30"/>
    <mergeCell ref="D32:E32"/>
    <mergeCell ref="A36:E36"/>
    <mergeCell ref="D10:E10"/>
    <mergeCell ref="D11:E11"/>
    <mergeCell ref="D12:E12"/>
    <mergeCell ref="D13:E13"/>
    <mergeCell ref="D14:E14"/>
    <mergeCell ref="B10:C10"/>
    <mergeCell ref="B17:C17"/>
    <mergeCell ref="B18:C18"/>
    <mergeCell ref="B19:C19"/>
    <mergeCell ref="B12:C12"/>
    <mergeCell ref="B13:C13"/>
    <mergeCell ref="B14:C14"/>
    <mergeCell ref="B15:C15"/>
    <mergeCell ref="B16:C16"/>
    <mergeCell ref="B20:C20"/>
    <mergeCell ref="A33:E33"/>
    <mergeCell ref="D23:E23"/>
    <mergeCell ref="D24:E24"/>
    <mergeCell ref="B11:C11"/>
  </mergeCells>
  <phoneticPr fontId="1"/>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1E500-47C8-4D1C-9C90-4A4BC29FCE11}">
  <sheetPr>
    <tabColor indexed="44"/>
    <pageSetUpPr fitToPage="1"/>
  </sheetPr>
  <dimension ref="A2:F21"/>
  <sheetViews>
    <sheetView view="pageBreakPreview" topLeftCell="A13" zoomScale="93" zoomScaleNormal="75" zoomScaleSheetLayoutView="75" workbookViewId="0">
      <selection activeCell="D9" sqref="D9"/>
    </sheetView>
  </sheetViews>
  <sheetFormatPr defaultColWidth="7" defaultRowHeight="13"/>
  <cols>
    <col min="1" max="1" width="2.42578125" style="23" bestFit="1" customWidth="1"/>
    <col min="2" max="2" width="6.640625" style="23" customWidth="1"/>
    <col min="3" max="3" width="11" style="23" customWidth="1"/>
    <col min="4" max="4" width="63.35546875" style="23" customWidth="1"/>
    <col min="5" max="5" width="34.35546875" style="23" customWidth="1"/>
    <col min="6" max="6" width="36.42578125" style="23" customWidth="1"/>
    <col min="7" max="7" width="2.42578125" style="23" customWidth="1"/>
    <col min="8" max="16384" width="7" style="23"/>
  </cols>
  <sheetData>
    <row r="2" spans="1:6" ht="23.5">
      <c r="A2" s="191" t="s">
        <v>89</v>
      </c>
      <c r="B2" s="192"/>
      <c r="C2" s="192"/>
      <c r="D2" s="192"/>
      <c r="E2" s="192"/>
      <c r="F2" s="192"/>
    </row>
    <row r="3" spans="1:6" ht="38.5" customHeight="1">
      <c r="B3" s="24"/>
      <c r="C3" s="24"/>
      <c r="D3" s="25"/>
      <c r="E3" s="193" t="s">
        <v>90</v>
      </c>
      <c r="F3" s="194"/>
    </row>
    <row r="5" spans="1:6" s="26" customFormat="1" ht="26">
      <c r="A5" s="40" t="s">
        <v>91</v>
      </c>
      <c r="B5" s="41" t="s">
        <v>92</v>
      </c>
      <c r="C5" s="42" t="s">
        <v>93</v>
      </c>
      <c r="D5" s="43" t="s">
        <v>94</v>
      </c>
      <c r="E5" s="44" t="s">
        <v>95</v>
      </c>
      <c r="F5" s="44" t="s">
        <v>96</v>
      </c>
    </row>
    <row r="6" spans="1:6" s="26" customFormat="1" ht="48">
      <c r="A6" s="195" t="s">
        <v>97</v>
      </c>
      <c r="B6" s="198" t="s">
        <v>98</v>
      </c>
      <c r="C6" s="45" t="s">
        <v>99</v>
      </c>
      <c r="D6" s="46" t="s">
        <v>100</v>
      </c>
      <c r="E6" s="47" t="s">
        <v>91</v>
      </c>
      <c r="F6" s="95" t="s">
        <v>101</v>
      </c>
    </row>
    <row r="7" spans="1:6" s="26" customFormat="1" ht="84">
      <c r="A7" s="196"/>
      <c r="B7" s="199"/>
      <c r="C7" s="48" t="s">
        <v>102</v>
      </c>
      <c r="D7" s="64" t="s">
        <v>103</v>
      </c>
      <c r="E7" s="50" t="s">
        <v>91</v>
      </c>
      <c r="F7" s="96" t="s">
        <v>104</v>
      </c>
    </row>
    <row r="8" spans="1:6" s="26" customFormat="1" ht="168">
      <c r="A8" s="196"/>
      <c r="B8" s="200" t="s">
        <v>105</v>
      </c>
      <c r="C8" s="65" t="s">
        <v>106</v>
      </c>
      <c r="D8" s="66" t="s">
        <v>107</v>
      </c>
      <c r="E8" s="52" t="s">
        <v>91</v>
      </c>
      <c r="F8" s="53" t="s">
        <v>108</v>
      </c>
    </row>
    <row r="9" spans="1:6" s="26" customFormat="1" ht="120">
      <c r="A9" s="196"/>
      <c r="B9" s="201"/>
      <c r="C9" s="48" t="s">
        <v>109</v>
      </c>
      <c r="D9" s="105" t="s">
        <v>110</v>
      </c>
      <c r="E9" s="54" t="s">
        <v>91</v>
      </c>
      <c r="F9" s="54" t="s">
        <v>91</v>
      </c>
    </row>
    <row r="10" spans="1:6" s="26" customFormat="1" ht="156">
      <c r="A10" s="196"/>
      <c r="B10" s="55" t="s">
        <v>111</v>
      </c>
      <c r="C10" s="48" t="s">
        <v>111</v>
      </c>
      <c r="D10" s="51" t="s">
        <v>112</v>
      </c>
      <c r="E10" s="106" t="s">
        <v>91</v>
      </c>
      <c r="F10" s="56" t="s">
        <v>91</v>
      </c>
    </row>
    <row r="11" spans="1:6" s="26" customFormat="1" ht="108">
      <c r="A11" s="196"/>
      <c r="B11" s="202" t="s">
        <v>81</v>
      </c>
      <c r="C11" s="57" t="s">
        <v>113</v>
      </c>
      <c r="D11" s="105" t="s">
        <v>114</v>
      </c>
      <c r="E11" s="52" t="s">
        <v>91</v>
      </c>
      <c r="F11" s="58" t="s">
        <v>91</v>
      </c>
    </row>
    <row r="12" spans="1:6" s="26" customFormat="1" ht="36">
      <c r="A12" s="196"/>
      <c r="B12" s="199"/>
      <c r="C12" s="48" t="s">
        <v>115</v>
      </c>
      <c r="D12" s="64" t="s">
        <v>116</v>
      </c>
      <c r="E12" s="58" t="s">
        <v>91</v>
      </c>
      <c r="F12" s="59" t="s">
        <v>91</v>
      </c>
    </row>
    <row r="13" spans="1:6" s="26" customFormat="1" ht="72">
      <c r="A13" s="196"/>
      <c r="B13" s="199"/>
      <c r="C13" s="57" t="s">
        <v>117</v>
      </c>
      <c r="D13" s="64" t="s">
        <v>118</v>
      </c>
      <c r="E13" s="58" t="s">
        <v>91</v>
      </c>
      <c r="F13" s="59" t="s">
        <v>91</v>
      </c>
    </row>
    <row r="14" spans="1:6" s="26" customFormat="1" ht="72">
      <c r="A14" s="196"/>
      <c r="B14" s="199"/>
      <c r="C14" s="48" t="s">
        <v>119</v>
      </c>
      <c r="D14" s="64" t="s">
        <v>120</v>
      </c>
      <c r="E14" s="58" t="s">
        <v>91</v>
      </c>
      <c r="F14" s="72"/>
    </row>
    <row r="15" spans="1:6" s="26" customFormat="1">
      <c r="A15" s="196"/>
      <c r="B15" s="199"/>
      <c r="C15" s="60" t="s">
        <v>121</v>
      </c>
      <c r="D15" s="49" t="s">
        <v>122</v>
      </c>
      <c r="E15" s="58" t="s">
        <v>91</v>
      </c>
      <c r="F15" s="61" t="s">
        <v>91</v>
      </c>
    </row>
    <row r="16" spans="1:6" s="26" customFormat="1" ht="240">
      <c r="A16" s="196"/>
      <c r="B16" s="199"/>
      <c r="C16" s="62" t="s">
        <v>123</v>
      </c>
      <c r="D16" s="64" t="s">
        <v>124</v>
      </c>
      <c r="E16" s="97" t="s">
        <v>125</v>
      </c>
      <c r="F16" s="98" t="s">
        <v>126</v>
      </c>
    </row>
    <row r="17" spans="1:6" s="26" customFormat="1" ht="36">
      <c r="A17" s="197"/>
      <c r="B17" s="203"/>
      <c r="C17" s="67" t="s">
        <v>127</v>
      </c>
      <c r="D17" s="68" t="s">
        <v>128</v>
      </c>
      <c r="E17" s="63" t="s">
        <v>91</v>
      </c>
      <c r="F17" s="69" t="s">
        <v>129</v>
      </c>
    </row>
    <row r="18" spans="1:6" s="26" customFormat="1">
      <c r="A18" s="27"/>
      <c r="B18" s="28"/>
      <c r="C18" s="28"/>
      <c r="D18" s="29"/>
      <c r="E18" s="30"/>
      <c r="F18" s="30"/>
    </row>
    <row r="19" spans="1:6" s="26" customFormat="1" ht="24">
      <c r="A19" s="186" t="s">
        <v>130</v>
      </c>
      <c r="B19" s="187"/>
      <c r="C19" s="188"/>
      <c r="D19" s="31" t="s">
        <v>131</v>
      </c>
      <c r="E19" s="107"/>
      <c r="F19" s="107"/>
    </row>
    <row r="20" spans="1:6" s="26" customFormat="1">
      <c r="A20" s="32"/>
      <c r="B20" s="33"/>
      <c r="C20" s="33"/>
      <c r="D20" s="29"/>
      <c r="E20" s="30"/>
      <c r="F20" s="30"/>
    </row>
    <row r="21" spans="1:6" s="26" customFormat="1" ht="24">
      <c r="A21" s="189" t="s">
        <v>132</v>
      </c>
      <c r="B21" s="190"/>
      <c r="C21" s="190"/>
      <c r="D21" s="70" t="s">
        <v>133</v>
      </c>
      <c r="E21" s="34"/>
      <c r="F21" s="71" t="s">
        <v>129</v>
      </c>
    </row>
  </sheetData>
  <sheetProtection algorithmName="SHA-512" hashValue="npjNz6dHqSJa7DzjDnE60AHXYwVjlLKh9jEH8DgE4Ic/rmOloXUxjHeanPzC8h5p34Q3CrFHg13XPtv4eLNt7A==" saltValue="ExkuQRO/jtvv/+gum8NE5A==" spinCount="100000" sheet="1" objects="1" scenarios="1" formatColumns="0" formatRows="0"/>
  <mergeCells count="8">
    <mergeCell ref="A19:C19"/>
    <mergeCell ref="A21:C21"/>
    <mergeCell ref="A2:F2"/>
    <mergeCell ref="E3:F3"/>
    <mergeCell ref="A6:A17"/>
    <mergeCell ref="B6:B7"/>
    <mergeCell ref="B8:B9"/>
    <mergeCell ref="B11:B17"/>
  </mergeCells>
  <phoneticPr fontId="1"/>
  <printOptions horizontalCentered="1"/>
  <pageMargins left="0.25" right="0.25" top="0.75" bottom="0.75" header="0.3" footer="0.3"/>
  <pageSetup paperSize="8" scale="76" orientation="portrait" r:id="rId1"/>
  <headerFooter alignWithMargins="0"/>
  <rowBreaks count="1" manualBreakCount="1">
    <brk id="21" max="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EDF13-C5BD-4811-9E93-DF940678AE28}">
  <dimension ref="A1:M31"/>
  <sheetViews>
    <sheetView topLeftCell="A17" zoomScale="95" zoomScaleNormal="115" workbookViewId="0">
      <selection activeCell="B10" sqref="B10:I10"/>
    </sheetView>
  </sheetViews>
  <sheetFormatPr defaultColWidth="9.140625" defaultRowHeight="16.5"/>
  <cols>
    <col min="1" max="1" width="23.85546875" style="73" customWidth="1"/>
    <col min="2" max="2" width="3.42578125" style="1" customWidth="1"/>
    <col min="3" max="3" width="14.42578125" style="1" customWidth="1"/>
    <col min="4" max="4" width="3.42578125" style="1" customWidth="1"/>
    <col min="5" max="5" width="14.42578125" style="1" bestFit="1" customWidth="1"/>
    <col min="6" max="6" width="3.42578125" style="1" customWidth="1"/>
    <col min="7" max="7" width="14.42578125" style="1" customWidth="1"/>
    <col min="8" max="8" width="3.42578125" style="1" customWidth="1"/>
    <col min="9" max="9" width="14.42578125" style="1" customWidth="1"/>
    <col min="10" max="10" width="3.42578125" style="1" customWidth="1"/>
    <col min="11" max="13" width="14.42578125" style="2" customWidth="1"/>
    <col min="14" max="16384" width="9.140625" style="2"/>
  </cols>
  <sheetData>
    <row r="1" spans="1:12">
      <c r="A1" s="124" t="s">
        <v>134</v>
      </c>
      <c r="B1" s="236" t="s">
        <v>135</v>
      </c>
      <c r="C1" s="237"/>
      <c r="D1" s="125"/>
      <c r="E1" s="4"/>
      <c r="F1" s="126"/>
      <c r="G1" s="126"/>
      <c r="H1" s="238"/>
      <c r="I1" s="238"/>
    </row>
    <row r="2" spans="1:12" ht="17" thickBot="1">
      <c r="A2" s="128"/>
      <c r="B2" s="239"/>
      <c r="C2" s="240"/>
      <c r="D2" s="125" t="s">
        <v>136</v>
      </c>
      <c r="E2" s="125"/>
      <c r="F2" s="129"/>
      <c r="G2" s="129"/>
      <c r="H2" s="241"/>
      <c r="I2" s="241"/>
    </row>
    <row r="3" spans="1:12">
      <c r="A3" s="74"/>
      <c r="B3" s="131"/>
      <c r="C3" s="131"/>
      <c r="D3" s="132"/>
      <c r="E3" s="132"/>
      <c r="F3" s="131"/>
      <c r="G3" s="131"/>
      <c r="H3" s="130"/>
      <c r="I3" s="130"/>
    </row>
    <row r="4" spans="1:12">
      <c r="A4" s="242" t="s">
        <v>137</v>
      </c>
      <c r="B4" s="242"/>
      <c r="C4" s="242"/>
      <c r="D4" s="242"/>
      <c r="E4" s="242"/>
      <c r="F4" s="242"/>
      <c r="G4" s="242"/>
      <c r="H4" s="242"/>
      <c r="I4" s="242"/>
    </row>
    <row r="5" spans="1:12" ht="13.5" thickBot="1">
      <c r="A5" s="243" t="s">
        <v>138</v>
      </c>
      <c r="B5" s="243"/>
      <c r="C5" s="243"/>
      <c r="D5" s="243"/>
      <c r="E5" s="243"/>
      <c r="F5" s="243"/>
      <c r="G5" s="243"/>
      <c r="H5" s="243"/>
      <c r="I5" s="243"/>
      <c r="J5" s="6" t="s">
        <v>139</v>
      </c>
    </row>
    <row r="6" spans="1:12" ht="54.5" customHeight="1">
      <c r="A6" s="133" t="s">
        <v>244</v>
      </c>
      <c r="B6" s="244"/>
      <c r="C6" s="245"/>
      <c r="D6" s="245"/>
      <c r="E6" s="245"/>
      <c r="F6" s="245"/>
      <c r="G6" s="245"/>
      <c r="H6" s="245"/>
      <c r="I6" s="246"/>
    </row>
    <row r="7" spans="1:12" ht="78.75" customHeight="1">
      <c r="A7" s="134" t="s">
        <v>140</v>
      </c>
      <c r="B7" s="228"/>
      <c r="C7" s="229"/>
      <c r="D7" s="229"/>
      <c r="E7" s="229"/>
      <c r="F7" s="229"/>
      <c r="G7" s="229"/>
      <c r="H7" s="229"/>
      <c r="I7" s="230"/>
    </row>
    <row r="8" spans="1:12">
      <c r="A8" s="247" t="s">
        <v>141</v>
      </c>
      <c r="B8" s="213" t="s">
        <v>142</v>
      </c>
      <c r="C8" s="213"/>
      <c r="D8" s="228"/>
      <c r="E8" s="229"/>
      <c r="F8" s="229"/>
      <c r="G8" s="229"/>
      <c r="H8" s="229"/>
      <c r="I8" s="230"/>
    </row>
    <row r="9" spans="1:12">
      <c r="A9" s="248"/>
      <c r="B9" s="213" t="s">
        <v>143</v>
      </c>
      <c r="C9" s="213"/>
      <c r="D9" s="228"/>
      <c r="E9" s="229"/>
      <c r="F9" s="229"/>
      <c r="G9" s="229"/>
      <c r="H9" s="229"/>
      <c r="I9" s="230"/>
    </row>
    <row r="10" spans="1:12">
      <c r="A10" s="135" t="s">
        <v>144</v>
      </c>
      <c r="B10" s="221"/>
      <c r="C10" s="221"/>
      <c r="D10" s="221"/>
      <c r="E10" s="221"/>
      <c r="F10" s="221"/>
      <c r="G10" s="221"/>
      <c r="H10" s="221"/>
      <c r="I10" s="222"/>
    </row>
    <row r="11" spans="1:12" ht="31">
      <c r="A11" s="136" t="s">
        <v>145</v>
      </c>
      <c r="B11" s="228"/>
      <c r="C11" s="229"/>
      <c r="D11" s="229"/>
      <c r="E11" s="229"/>
      <c r="F11" s="229"/>
      <c r="G11" s="229"/>
      <c r="H11" s="229"/>
      <c r="I11" s="230"/>
    </row>
    <row r="12" spans="1:12">
      <c r="A12" s="136" t="s">
        <v>146</v>
      </c>
      <c r="B12" s="221"/>
      <c r="C12" s="221"/>
      <c r="D12" s="221"/>
      <c r="E12" s="221"/>
      <c r="F12" s="221"/>
      <c r="G12" s="221"/>
      <c r="H12" s="221"/>
      <c r="I12" s="222"/>
    </row>
    <row r="13" spans="1:12">
      <c r="A13" s="136" t="s">
        <v>147</v>
      </c>
      <c r="B13" s="221"/>
      <c r="C13" s="221"/>
      <c r="D13" s="221"/>
      <c r="E13" s="221"/>
      <c r="F13" s="221"/>
      <c r="G13" s="221"/>
      <c r="H13" s="221"/>
      <c r="I13" s="222"/>
    </row>
    <row r="14" spans="1:12">
      <c r="A14" s="136" t="s">
        <v>148</v>
      </c>
      <c r="B14" s="221"/>
      <c r="C14" s="221"/>
      <c r="D14" s="221"/>
      <c r="E14" s="221"/>
      <c r="F14" s="221"/>
      <c r="G14" s="221"/>
      <c r="H14" s="221"/>
      <c r="I14" s="222"/>
    </row>
    <row r="15" spans="1:12">
      <c r="A15" s="137" t="s">
        <v>149</v>
      </c>
      <c r="B15" s="225"/>
      <c r="C15" s="226"/>
      <c r="D15" s="226"/>
      <c r="E15" s="226"/>
      <c r="F15" s="226"/>
      <c r="G15" s="226"/>
      <c r="H15" s="226"/>
      <c r="I15" s="227"/>
    </row>
    <row r="16" spans="1:12">
      <c r="A16" s="127"/>
      <c r="L16" s="123" t="s">
        <v>150</v>
      </c>
    </row>
    <row r="17" spans="1:13" ht="31">
      <c r="A17" s="133" t="s">
        <v>151</v>
      </c>
      <c r="B17" s="231"/>
      <c r="C17" s="231"/>
      <c r="D17" s="231"/>
      <c r="E17" s="231"/>
      <c r="F17" s="231"/>
      <c r="G17" s="231"/>
      <c r="H17" s="231"/>
      <c r="I17" s="231"/>
      <c r="J17" s="231"/>
      <c r="K17" s="232"/>
      <c r="L17" s="3" t="s">
        <v>152</v>
      </c>
      <c r="M17" s="2" t="s">
        <v>153</v>
      </c>
    </row>
    <row r="18" spans="1:13" ht="88">
      <c r="A18" s="138" t="s">
        <v>154</v>
      </c>
      <c r="B18" s="221"/>
      <c r="C18" s="221"/>
      <c r="D18" s="221"/>
      <c r="E18" s="221"/>
      <c r="F18" s="221"/>
      <c r="G18" s="221"/>
      <c r="H18" s="221"/>
      <c r="I18" s="221"/>
      <c r="J18" s="221"/>
      <c r="K18" s="222"/>
    </row>
    <row r="19" spans="1:13" ht="21.5">
      <c r="A19" s="136" t="s">
        <v>155</v>
      </c>
      <c r="B19" s="221"/>
      <c r="C19" s="221"/>
      <c r="D19" s="221"/>
      <c r="E19" s="221"/>
      <c r="F19" s="221"/>
      <c r="G19" s="221"/>
      <c r="H19" s="221"/>
      <c r="I19" s="221"/>
      <c r="J19" s="221"/>
      <c r="K19" s="222"/>
    </row>
    <row r="20" spans="1:13" ht="24">
      <c r="A20" s="206" t="s">
        <v>156</v>
      </c>
      <c r="B20" s="108" t="b">
        <v>0</v>
      </c>
      <c r="C20" s="9" t="s">
        <v>157</v>
      </c>
      <c r="D20" s="110" t="b">
        <v>0</v>
      </c>
      <c r="E20" s="139" t="s">
        <v>158</v>
      </c>
      <c r="F20" s="110" t="b">
        <v>0</v>
      </c>
      <c r="G20" s="139" t="s">
        <v>159</v>
      </c>
      <c r="H20" s="110" t="b">
        <v>0</v>
      </c>
      <c r="I20" s="139" t="s">
        <v>160</v>
      </c>
      <c r="J20" s="108" t="b">
        <v>0</v>
      </c>
      <c r="K20" s="10" t="s">
        <v>161</v>
      </c>
    </row>
    <row r="21" spans="1:13" ht="24">
      <c r="A21" s="207"/>
      <c r="B21" s="110" t="b">
        <v>0</v>
      </c>
      <c r="C21" s="9" t="s">
        <v>162</v>
      </c>
      <c r="D21" s="110" t="b">
        <v>0</v>
      </c>
      <c r="E21" s="139" t="s">
        <v>163</v>
      </c>
      <c r="F21" s="110" t="b">
        <v>0</v>
      </c>
      <c r="G21" s="9" t="s">
        <v>164</v>
      </c>
      <c r="H21" s="233"/>
      <c r="I21" s="234"/>
      <c r="J21" s="234"/>
      <c r="K21" s="235"/>
    </row>
    <row r="22" spans="1:13" ht="24">
      <c r="A22" s="140" t="s">
        <v>165</v>
      </c>
      <c r="B22" s="223"/>
      <c r="C22" s="223"/>
      <c r="D22" s="223"/>
      <c r="E22" s="223"/>
      <c r="F22" s="223"/>
      <c r="G22" s="223"/>
      <c r="H22" s="223"/>
      <c r="I22" s="223"/>
      <c r="J22" s="223"/>
      <c r="K22" s="224"/>
      <c r="L22" s="117">
        <f>LEN(B22)</f>
        <v>0</v>
      </c>
      <c r="M22" s="118">
        <f>IF(B22="",0,LEN(TRIM(B22))-LEN(SUBSTITUTE(TRIM(B22)," ",""))+1)</f>
        <v>0</v>
      </c>
    </row>
    <row r="23" spans="1:13" ht="17" thickBot="1"/>
    <row r="24" spans="1:13" ht="36">
      <c r="A24" s="204" t="s">
        <v>166</v>
      </c>
      <c r="B24" s="111" t="b">
        <v>0</v>
      </c>
      <c r="C24" s="142" t="s">
        <v>167</v>
      </c>
      <c r="D24" s="111" t="b">
        <v>0</v>
      </c>
      <c r="E24" s="142" t="s">
        <v>168</v>
      </c>
      <c r="F24" s="111" t="b">
        <v>0</v>
      </c>
      <c r="G24" s="142" t="s">
        <v>169</v>
      </c>
      <c r="H24" s="111" t="b">
        <v>0</v>
      </c>
      <c r="I24" s="142" t="s">
        <v>170</v>
      </c>
      <c r="J24" s="112" t="b">
        <v>0</v>
      </c>
      <c r="K24" s="143" t="s">
        <v>171</v>
      </c>
      <c r="L24" s="144"/>
    </row>
    <row r="25" spans="1:13" ht="72">
      <c r="A25" s="205"/>
      <c r="B25" s="113" t="b">
        <v>0</v>
      </c>
      <c r="C25" s="145" t="s">
        <v>172</v>
      </c>
      <c r="D25" s="114" t="b">
        <v>0</v>
      </c>
      <c r="E25" s="145" t="s">
        <v>173</v>
      </c>
      <c r="F25" s="115" t="b">
        <v>0</v>
      </c>
      <c r="G25" s="146" t="s">
        <v>174</v>
      </c>
      <c r="H25" s="116" t="b">
        <v>0</v>
      </c>
      <c r="I25" s="146" t="s">
        <v>175</v>
      </c>
      <c r="J25" s="116" t="b">
        <v>0</v>
      </c>
      <c r="K25" s="147" t="s">
        <v>176</v>
      </c>
      <c r="L25" s="148"/>
      <c r="M25" s="144"/>
    </row>
    <row r="26" spans="1:13" ht="42.5" customHeight="1">
      <c r="A26" s="140" t="s">
        <v>177</v>
      </c>
      <c r="B26" s="214"/>
      <c r="C26" s="215"/>
      <c r="D26" s="215"/>
      <c r="E26" s="215"/>
      <c r="F26" s="215"/>
      <c r="G26" s="215"/>
      <c r="H26" s="215"/>
      <c r="I26" s="215"/>
      <c r="J26" s="215"/>
      <c r="K26" s="216"/>
      <c r="L26" s="117">
        <f>LEN(B26)</f>
        <v>0</v>
      </c>
      <c r="M26" s="118">
        <f>IF(B26="",0,LEN(TRIM(B26))-LEN(SUBSTITUTE(TRIM(B26)," ",""))+1)</f>
        <v>0</v>
      </c>
    </row>
    <row r="27" spans="1:13" ht="17" thickBot="1"/>
    <row r="28" spans="1:13" ht="13">
      <c r="A28" s="217" t="s">
        <v>178</v>
      </c>
      <c r="B28" s="208"/>
      <c r="C28" s="210" t="s">
        <v>179</v>
      </c>
      <c r="D28" s="210" t="s">
        <v>180</v>
      </c>
      <c r="E28" s="210"/>
      <c r="F28" s="210"/>
      <c r="G28" s="210"/>
      <c r="H28" s="210"/>
      <c r="I28" s="210"/>
      <c r="J28" s="210"/>
      <c r="K28" s="210"/>
      <c r="L28" s="212"/>
    </row>
    <row r="29" spans="1:13" ht="13">
      <c r="A29" s="218"/>
      <c r="B29" s="209"/>
      <c r="C29" s="211"/>
      <c r="D29" s="213" t="s">
        <v>181</v>
      </c>
      <c r="E29" s="213"/>
      <c r="F29" s="213" t="s">
        <v>182</v>
      </c>
      <c r="G29" s="213"/>
      <c r="H29" s="213" t="s">
        <v>109</v>
      </c>
      <c r="I29" s="213"/>
      <c r="J29" s="211" t="s">
        <v>111</v>
      </c>
      <c r="K29" s="211"/>
      <c r="L29" s="149" t="s">
        <v>183</v>
      </c>
    </row>
    <row r="30" spans="1:13" ht="26" customHeight="1" thickBot="1">
      <c r="A30" s="219"/>
      <c r="B30" s="150" t="s">
        <v>184</v>
      </c>
      <c r="C30" s="141">
        <f>SUM(D30:L30)</f>
        <v>0</v>
      </c>
      <c r="D30" s="220">
        <f>研究計画調書_3枚目!E9</f>
        <v>0</v>
      </c>
      <c r="E30" s="220"/>
      <c r="F30" s="220">
        <f>研究計画調書_3枚目!G9</f>
        <v>0</v>
      </c>
      <c r="G30" s="220"/>
      <c r="H30" s="220">
        <f>研究計画調書_3枚目!B17</f>
        <v>0</v>
      </c>
      <c r="I30" s="220"/>
      <c r="J30" s="220">
        <f>SUM(研究計画調書_3枚目!D17,研究計画調書_3枚目!F17)</f>
        <v>0</v>
      </c>
      <c r="K30" s="220"/>
      <c r="L30" s="151">
        <f>研究計画調書_3枚目!B27</f>
        <v>0</v>
      </c>
    </row>
    <row r="31" spans="1:13" ht="13">
      <c r="A31" s="152"/>
      <c r="B31" s="127"/>
      <c r="C31" s="3"/>
      <c r="D31" s="132"/>
      <c r="E31" s="132"/>
      <c r="F31" s="132"/>
      <c r="G31" s="132"/>
      <c r="H31" s="132"/>
      <c r="I31" s="132"/>
      <c r="J31" s="3"/>
      <c r="K31" s="3"/>
    </row>
  </sheetData>
  <sheetProtection algorithmName="SHA-512" hashValue="TmN+A8Ep8sDtpEAb5egIbC2sEWVQxiRrOQnQrsiveT27vYDRx4gOXV+a8MZuihzmWW2aGKq+LW70qwqmJvs1bw==" saltValue="H8JhucFTYWRMXGSQ13QhCg==" spinCount="100000" sheet="1" objects="1" scenarios="1" formatColumns="0" formatRows="0"/>
  <mergeCells count="39">
    <mergeCell ref="A5:I5"/>
    <mergeCell ref="B6:I6"/>
    <mergeCell ref="B7:I7"/>
    <mergeCell ref="A8:A9"/>
    <mergeCell ref="B8:C8"/>
    <mergeCell ref="D8:I8"/>
    <mergeCell ref="B9:C9"/>
    <mergeCell ref="D9:I9"/>
    <mergeCell ref="B1:C1"/>
    <mergeCell ref="H1:I1"/>
    <mergeCell ref="B2:C2"/>
    <mergeCell ref="H2:I2"/>
    <mergeCell ref="A4:I4"/>
    <mergeCell ref="B10:I10"/>
    <mergeCell ref="B18:K18"/>
    <mergeCell ref="B22:K22"/>
    <mergeCell ref="B13:I13"/>
    <mergeCell ref="B14:I14"/>
    <mergeCell ref="B15:I15"/>
    <mergeCell ref="B11:I11"/>
    <mergeCell ref="B17:K17"/>
    <mergeCell ref="B19:K19"/>
    <mergeCell ref="H21:K21"/>
    <mergeCell ref="B12:I12"/>
    <mergeCell ref="A24:A25"/>
    <mergeCell ref="A20:A21"/>
    <mergeCell ref="B28:B29"/>
    <mergeCell ref="C28:C29"/>
    <mergeCell ref="D28:L28"/>
    <mergeCell ref="D29:E29"/>
    <mergeCell ref="F29:G29"/>
    <mergeCell ref="H29:I29"/>
    <mergeCell ref="J29:K29"/>
    <mergeCell ref="B26:K26"/>
    <mergeCell ref="A28:A30"/>
    <mergeCell ref="J30:K30"/>
    <mergeCell ref="D30:E30"/>
    <mergeCell ref="F30:G30"/>
    <mergeCell ref="H30:I30"/>
  </mergeCells>
  <phoneticPr fontId="1"/>
  <conditionalFormatting sqref="B6:I7 D8:I9 B10:I10 B11 B12:I14 B15 B17:B19 B21:G21 B22 B26 C30:J30 L30">
    <cfRule type="expression" dxfId="33" priority="12">
      <formula>B6=""</formula>
    </cfRule>
  </conditionalFormatting>
  <conditionalFormatting sqref="B20:K20">
    <cfRule type="expression" dxfId="32" priority="6">
      <formula>B20=""</formula>
    </cfRule>
  </conditionalFormatting>
  <conditionalFormatting sqref="L22">
    <cfRule type="expression" dxfId="31" priority="3">
      <formula>LEN(B22)&gt;50</formula>
    </cfRule>
  </conditionalFormatting>
  <conditionalFormatting sqref="L26">
    <cfRule type="expression" dxfId="30" priority="5">
      <formula>LEN(B26)&gt;200</formula>
    </cfRule>
  </conditionalFormatting>
  <conditionalFormatting sqref="M22">
    <cfRule type="expression" dxfId="29" priority="1">
      <formula>LEN(B22)&gt;50</formula>
    </cfRule>
  </conditionalFormatting>
  <conditionalFormatting sqref="M26">
    <cfRule type="expression" dxfId="28" priority="2">
      <formula>LEN(B26)&gt;200</formula>
    </cfRule>
  </conditionalFormatting>
  <dataValidations count="6">
    <dataValidation type="whole" allowBlank="1" showInputMessage="1" showErrorMessage="1" sqref="B10:I10" xr:uid="{54A80C3C-6651-4C04-B15C-76E24EC41A04}">
      <formula1>9999999</formula1>
      <formula2>100000000</formula2>
    </dataValidation>
    <dataValidation type="whole" operator="greaterThan" allowBlank="1" showInputMessage="1" showErrorMessage="1" sqref="B11:I11" xr:uid="{B58F1DCE-23D8-4175-A58A-9E79D5912D0A}">
      <formula1>0</formula1>
    </dataValidation>
    <dataValidation type="whole" allowBlank="1" showInputMessage="1" showErrorMessage="1" sqref="C30:L30" xr:uid="{7F751E3D-698B-4106-9F54-F2E509651536}">
      <formula1>0</formula1>
      <formula2>5000</formula2>
    </dataValidation>
    <dataValidation imeMode="fullKatakana" allowBlank="1" showInputMessage="1" showErrorMessage="1" sqref="D8:I8" xr:uid="{75D32B9C-3730-446D-8A10-A0BEE2D5D990}"/>
    <dataValidation imeMode="off" allowBlank="1" showInputMessage="1" showErrorMessage="1" sqref="B7:I7" xr:uid="{0516A2AF-DA6B-4121-9AC2-D5ECE742C1DD}"/>
    <dataValidation type="whole" allowBlank="1" showInputMessage="1" showErrorMessage="1" sqref="B6:I6" xr:uid="{A738BD79-AE8F-4C5B-A5D2-D958BD495E57}">
      <formula1>0</formula1>
      <formula2>100000000</formula2>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9316E64F-93ED-44DF-BDA0-AF454C48B160}">
          <x14:formula1>
            <xm:f>リスト!$A$2:$A$16</xm:f>
          </x14:formula1>
          <xm:sqref>B17</xm:sqref>
        </x14:dataValidation>
        <x14:dataValidation type="list" allowBlank="1" showInputMessage="1" showErrorMessage="1" xr:uid="{2D6A4E0A-FC31-402C-BE34-414EDD66EAA7}">
          <x14:formula1>
            <xm:f>リスト!$B$2:$B$10</xm:f>
          </x14:formula1>
          <xm:sqref>B18:K18</xm:sqref>
        </x14:dataValidation>
        <x14:dataValidation type="list" allowBlank="1" showInputMessage="1" showErrorMessage="1" xr:uid="{85978816-65C8-49EB-998F-7BE1A1C5C1B8}">
          <x14:formula1>
            <xm:f>リスト!$C$2:$C$15</xm:f>
          </x14:formula1>
          <xm:sqref>B15:I15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70F3E-C2CB-46F3-A780-2257DC57670E}">
  <dimension ref="A1:C15"/>
  <sheetViews>
    <sheetView tabSelected="1" zoomScaleNormal="100" workbookViewId="0">
      <selection activeCell="A19" sqref="A19"/>
    </sheetView>
  </sheetViews>
  <sheetFormatPr defaultColWidth="9.140625" defaultRowHeight="16.5"/>
  <cols>
    <col min="1" max="1" width="96.640625" style="73" customWidth="1"/>
    <col min="2" max="2" width="10" style="1" customWidth="1"/>
    <col min="3" max="3" width="14.78515625" style="1" customWidth="1"/>
    <col min="4" max="16384" width="9.140625" style="2"/>
  </cols>
  <sheetData>
    <row r="1" spans="1:3" ht="30" customHeight="1">
      <c r="A1" s="121" t="s">
        <v>185</v>
      </c>
      <c r="B1" s="6" t="s">
        <v>186</v>
      </c>
      <c r="C1" s="3"/>
    </row>
    <row r="2" spans="1:3" ht="36">
      <c r="A2" s="122" t="s">
        <v>187</v>
      </c>
      <c r="B2" s="3" t="s">
        <v>152</v>
      </c>
      <c r="C2" s="2" t="s">
        <v>153</v>
      </c>
    </row>
    <row r="3" spans="1:3" ht="13">
      <c r="A3" s="153"/>
      <c r="B3" s="117">
        <f>LEN(A3)</f>
        <v>0</v>
      </c>
      <c r="C3" s="118">
        <f>IF(A3="",0,LEN(TRIM(A3))-LEN(SUBSTITUTE(TRIM(A3)," ",""))+1)</f>
        <v>0</v>
      </c>
    </row>
    <row r="4" spans="1:3" ht="36">
      <c r="A4" s="119" t="s">
        <v>188</v>
      </c>
    </row>
    <row r="5" spans="1:3" ht="13">
      <c r="A5" s="153"/>
      <c r="B5" s="117">
        <f>LEN(A5)</f>
        <v>0</v>
      </c>
      <c r="C5" s="118">
        <f>IF(A5="",0,LEN(TRIM(A5))-LEN(SUBSTITUTE(TRIM(A5)," ",""))+1)</f>
        <v>0</v>
      </c>
    </row>
    <row r="6" spans="1:3" ht="36">
      <c r="A6" s="120" t="s">
        <v>189</v>
      </c>
    </row>
    <row r="7" spans="1:3" ht="13">
      <c r="A7" s="153"/>
      <c r="B7" s="117">
        <f>LEN(A7)</f>
        <v>0</v>
      </c>
      <c r="C7" s="118">
        <f>IF(A7="",0,LEN(TRIM(A7))-LEN(SUBSTITUTE(TRIM(A7)," ",""))+1)</f>
        <v>0</v>
      </c>
    </row>
    <row r="8" spans="1:3" ht="37.5" customHeight="1">
      <c r="A8" s="119" t="s">
        <v>190</v>
      </c>
    </row>
    <row r="9" spans="1:3" ht="13">
      <c r="A9" s="153"/>
      <c r="B9" s="117">
        <f>LEN(A9)</f>
        <v>0</v>
      </c>
      <c r="C9" s="118">
        <f>IF(A9="",0,LEN(TRIM(A9))-LEN(SUBSTITUTE(TRIM(A9)," ",""))+1)</f>
        <v>0</v>
      </c>
    </row>
    <row r="10" spans="1:3" ht="48.5" customHeight="1">
      <c r="A10" s="119" t="s">
        <v>191</v>
      </c>
    </row>
    <row r="11" spans="1:3" ht="14.5" customHeight="1">
      <c r="A11" s="153"/>
      <c r="B11" s="117">
        <f>LEN(A11)</f>
        <v>0</v>
      </c>
      <c r="C11" s="118">
        <f>IF(A11="",0,LEN(TRIM(A11))-LEN(SUBSTITUTE(TRIM(A11)," ",""))+1)</f>
        <v>0</v>
      </c>
    </row>
    <row r="12" spans="1:3" ht="37.5" customHeight="1">
      <c r="A12" s="119" t="s">
        <v>192</v>
      </c>
    </row>
    <row r="13" spans="1:3" ht="193.5" customHeight="1">
      <c r="A13" s="154"/>
      <c r="B13" s="2"/>
    </row>
    <row r="14" spans="1:3" ht="73.5" customHeight="1">
      <c r="A14" s="119" t="s">
        <v>249</v>
      </c>
    </row>
    <row r="15" spans="1:3" ht="16.5" customHeight="1" thickBot="1">
      <c r="A15" s="155"/>
      <c r="B15" s="117" t="b">
        <f>LEN(A15)-LEN(SUBSTITUTE(A15,CHAR(10),""))+1&lt;=5</f>
        <v>1</v>
      </c>
      <c r="C15" s="117" t="b">
        <f>LEN(A15)-LEN(SUBSTITUTE(A15,CHAR(10),""))+1&lt;=5</f>
        <v>1</v>
      </c>
    </row>
  </sheetData>
  <sheetProtection algorithmName="SHA-512" hashValue="nIIf72uO5gj/BOC+kdBUb8rCaZPz8IyzAlvYiZ6gxTvVRoAfdFpsaRWB8EQbIw6bnTM1dtucOzOi6/tiJaM33g==" saltValue="Z0uMCtvQpwQv1C1uxfVTIQ==" spinCount="100000" sheet="1" scenarios="1" formatCells="0" formatColumns="0" formatRows="0"/>
  <phoneticPr fontId="1"/>
  <conditionalFormatting sqref="A3">
    <cfRule type="expression" dxfId="27" priority="9">
      <formula>LEN(A3)&lt;80</formula>
    </cfRule>
  </conditionalFormatting>
  <conditionalFormatting sqref="A5">
    <cfRule type="expression" dxfId="26" priority="30">
      <formula>LEN(A5)&lt;160</formula>
    </cfRule>
  </conditionalFormatting>
  <conditionalFormatting sqref="A7">
    <cfRule type="expression" dxfId="25" priority="29">
      <formula>LEN(A7)&lt;160</formula>
    </cfRule>
  </conditionalFormatting>
  <conditionalFormatting sqref="A9">
    <cfRule type="expression" dxfId="24" priority="8">
      <formula>LEN(A9)&lt;100</formula>
    </cfRule>
  </conditionalFormatting>
  <conditionalFormatting sqref="A11">
    <cfRule type="expression" dxfId="23" priority="6">
      <formula>LEN(A11)&lt;60</formula>
    </cfRule>
  </conditionalFormatting>
  <conditionalFormatting sqref="A13">
    <cfRule type="expression" dxfId="22" priority="31">
      <formula>#REF!=""</formula>
    </cfRule>
  </conditionalFormatting>
  <conditionalFormatting sqref="A15">
    <cfRule type="expression" dxfId="21" priority="5">
      <formula>LEN(A15)&lt;80</formula>
    </cfRule>
  </conditionalFormatting>
  <conditionalFormatting sqref="B3">
    <cfRule type="expression" dxfId="20" priority="18">
      <formula>LEN(A3)&gt;400</formula>
    </cfRule>
  </conditionalFormatting>
  <conditionalFormatting sqref="B5">
    <cfRule type="expression" dxfId="19" priority="17">
      <formula>LEN(A5)&gt;800</formula>
    </cfRule>
  </conditionalFormatting>
  <conditionalFormatting sqref="B7">
    <cfRule type="expression" dxfId="18" priority="16">
      <formula>LEN(A7)&gt;800</formula>
    </cfRule>
  </conditionalFormatting>
  <conditionalFormatting sqref="B9">
    <cfRule type="expression" dxfId="17" priority="13">
      <formula>LEN(A9)&gt;500</formula>
    </cfRule>
  </conditionalFormatting>
  <conditionalFormatting sqref="B11">
    <cfRule type="expression" dxfId="16" priority="11">
      <formula>LEN(A11)&gt;300</formula>
    </cfRule>
  </conditionalFormatting>
  <conditionalFormatting sqref="B13">
    <cfRule type="expression" dxfId="15" priority="14">
      <formula>LEN(A13)&gt;400</formula>
    </cfRule>
  </conditionalFormatting>
  <conditionalFormatting sqref="B15:C15">
    <cfRule type="expression" dxfId="14" priority="12">
      <formula>B15=FALSE</formula>
    </cfRule>
  </conditionalFormatting>
  <conditionalFormatting sqref="C3">
    <cfRule type="expression" dxfId="13" priority="3">
      <formula>C3&gt;240</formula>
    </cfRule>
  </conditionalFormatting>
  <conditionalFormatting sqref="C5 C7">
    <cfRule type="expression" dxfId="12" priority="4">
      <formula>C5&gt;480</formula>
    </cfRule>
  </conditionalFormatting>
  <conditionalFormatting sqref="C9">
    <cfRule type="expression" dxfId="11" priority="2">
      <formula>C9&gt;300</formula>
    </cfRule>
  </conditionalFormatting>
  <conditionalFormatting sqref="C11">
    <cfRule type="expression" dxfId="10" priority="1">
      <formula>C11&gt;180</formula>
    </cfRule>
  </conditionalFormatting>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590D2-2CCA-4C1A-A21C-94B8DAA5E769}">
  <dimension ref="A1:I30"/>
  <sheetViews>
    <sheetView zoomScaleNormal="100" workbookViewId="0">
      <selection activeCell="A24" sqref="A24"/>
    </sheetView>
  </sheetViews>
  <sheetFormatPr defaultColWidth="9.140625" defaultRowHeight="13.5" customHeight="1"/>
  <cols>
    <col min="1" max="1" width="17.78515625" style="1" customWidth="1"/>
    <col min="2" max="4" width="10.42578125" style="1" customWidth="1"/>
    <col min="5" max="5" width="19.42578125" style="1" customWidth="1"/>
    <col min="6" max="6" width="16" style="1" bestFit="1" customWidth="1"/>
    <col min="7" max="7" width="11.42578125" style="1" customWidth="1"/>
    <col min="8" max="8" width="22.35546875" style="1" customWidth="1"/>
    <col min="9" max="9" width="14.78515625" style="1" customWidth="1"/>
    <col min="10" max="16384" width="9.140625" style="2"/>
  </cols>
  <sheetData>
    <row r="1" spans="1:8" s="1" customFormat="1" ht="26.25" customHeight="1">
      <c r="A1" s="269" t="s">
        <v>193</v>
      </c>
      <c r="B1" s="269"/>
      <c r="C1" s="269"/>
      <c r="D1" s="269"/>
      <c r="E1" s="269"/>
      <c r="F1" s="269"/>
      <c r="G1" s="269"/>
      <c r="H1" s="4"/>
    </row>
    <row r="2" spans="1:8" s="1" customFormat="1" ht="14.15" customHeight="1">
      <c r="A2" s="4" t="s">
        <v>194</v>
      </c>
      <c r="B2" s="4"/>
      <c r="C2" s="4"/>
      <c r="D2" s="4"/>
      <c r="E2" s="4"/>
      <c r="F2" s="4"/>
      <c r="G2" s="4"/>
      <c r="H2" s="4"/>
    </row>
    <row r="3" spans="1:8" s="1" customFormat="1" ht="38.25" customHeight="1">
      <c r="A3" s="270" t="s">
        <v>195</v>
      </c>
      <c r="B3" s="270"/>
      <c r="C3" s="270"/>
      <c r="D3" s="270"/>
      <c r="E3" s="270"/>
      <c r="F3" s="270"/>
      <c r="G3" s="270"/>
      <c r="H3" s="4"/>
    </row>
    <row r="4" spans="1:8" s="1" customFormat="1" ht="16.5">
      <c r="A4" s="276" t="s">
        <v>196</v>
      </c>
      <c r="B4" s="277"/>
      <c r="C4" s="277"/>
      <c r="D4" s="277"/>
      <c r="E4" s="278"/>
      <c r="F4" s="279" t="s">
        <v>197</v>
      </c>
      <c r="G4" s="280"/>
      <c r="H4" s="3"/>
    </row>
    <row r="5" spans="1:8" s="1" customFormat="1" ht="16.5">
      <c r="A5" s="84" t="s">
        <v>198</v>
      </c>
      <c r="B5" s="9" t="s">
        <v>199</v>
      </c>
      <c r="C5" s="9" t="s">
        <v>200</v>
      </c>
      <c r="D5" s="9" t="s">
        <v>201</v>
      </c>
      <c r="E5" s="9" t="s">
        <v>202</v>
      </c>
      <c r="F5" s="9" t="s">
        <v>203</v>
      </c>
      <c r="G5" s="85" t="s">
        <v>204</v>
      </c>
      <c r="H5" s="3"/>
    </row>
    <row r="6" spans="1:8" s="1" customFormat="1" ht="16.5">
      <c r="A6" s="156"/>
      <c r="B6" s="109"/>
      <c r="C6" s="109"/>
      <c r="D6" s="109"/>
      <c r="E6" s="109"/>
      <c r="F6" s="157"/>
      <c r="G6" s="158"/>
      <c r="H6" s="3"/>
    </row>
    <row r="7" spans="1:8" s="1" customFormat="1" ht="16.5">
      <c r="A7" s="156"/>
      <c r="B7" s="109"/>
      <c r="C7" s="109"/>
      <c r="D7" s="109"/>
      <c r="E7" s="109"/>
      <c r="F7" s="159"/>
      <c r="G7" s="158"/>
      <c r="H7" s="3"/>
    </row>
    <row r="8" spans="1:8" s="1" customFormat="1" ht="16.5">
      <c r="A8" s="160"/>
      <c r="B8" s="157"/>
      <c r="C8" s="157"/>
      <c r="D8" s="157"/>
      <c r="E8" s="157"/>
      <c r="F8" s="157"/>
      <c r="G8" s="158"/>
      <c r="H8" s="3"/>
    </row>
    <row r="9" spans="1:8" s="1" customFormat="1" ht="16.5">
      <c r="A9" s="257"/>
      <c r="B9" s="258"/>
      <c r="C9" s="259"/>
      <c r="D9" s="9" t="s">
        <v>184</v>
      </c>
      <c r="E9" s="157"/>
      <c r="F9" s="9" t="s">
        <v>184</v>
      </c>
      <c r="G9" s="158"/>
      <c r="H9" s="3"/>
    </row>
    <row r="10" spans="1:8" s="1" customFormat="1" ht="16.5">
      <c r="A10" s="284" t="s">
        <v>205</v>
      </c>
      <c r="B10" s="253"/>
      <c r="C10" s="253"/>
      <c r="D10" s="253"/>
      <c r="E10" s="253"/>
      <c r="F10" s="253"/>
      <c r="G10" s="285"/>
      <c r="H10" s="3"/>
    </row>
    <row r="11" spans="1:8" s="1" customFormat="1" ht="16.5">
      <c r="A11" s="281"/>
      <c r="B11" s="282"/>
      <c r="C11" s="282"/>
      <c r="D11" s="282"/>
      <c r="E11" s="282"/>
      <c r="F11" s="282"/>
      <c r="G11" s="283"/>
      <c r="H11" s="5"/>
    </row>
    <row r="12" spans="1:8" s="1" customFormat="1" ht="16.5">
      <c r="A12" s="74"/>
      <c r="B12" s="74"/>
      <c r="C12" s="74"/>
      <c r="D12" s="74"/>
      <c r="E12" s="74"/>
      <c r="F12" s="74"/>
      <c r="G12" s="74"/>
      <c r="H12" s="3"/>
    </row>
    <row r="13" spans="1:8" s="1" customFormat="1" ht="16.5">
      <c r="A13" s="255" t="s">
        <v>206</v>
      </c>
      <c r="B13" s="256"/>
      <c r="C13" s="255" t="s">
        <v>207</v>
      </c>
      <c r="D13" s="256"/>
      <c r="E13" s="255" t="s">
        <v>208</v>
      </c>
      <c r="F13" s="256"/>
      <c r="G13" s="273"/>
      <c r="H13" s="3"/>
    </row>
    <row r="14" spans="1:8" s="1" customFormat="1" ht="16.5">
      <c r="A14" s="9" t="s">
        <v>203</v>
      </c>
      <c r="B14" s="9" t="s">
        <v>209</v>
      </c>
      <c r="C14" s="9" t="s">
        <v>203</v>
      </c>
      <c r="D14" s="9" t="s">
        <v>209</v>
      </c>
      <c r="E14" s="9" t="s">
        <v>203</v>
      </c>
      <c r="F14" s="102" t="s">
        <v>209</v>
      </c>
      <c r="G14" s="274"/>
      <c r="H14" s="6"/>
    </row>
    <row r="15" spans="1:8" s="1" customFormat="1" ht="16.5">
      <c r="A15" s="161"/>
      <c r="B15" s="161"/>
      <c r="C15" s="162"/>
      <c r="D15" s="162"/>
      <c r="E15" s="157"/>
      <c r="F15" s="157"/>
      <c r="G15" s="274"/>
      <c r="H15" s="6"/>
    </row>
    <row r="16" spans="1:8" s="1" customFormat="1" ht="16.5">
      <c r="A16" s="161"/>
      <c r="B16" s="161"/>
      <c r="C16" s="161"/>
      <c r="D16" s="161"/>
      <c r="E16" s="163"/>
      <c r="F16" s="157"/>
      <c r="G16" s="275"/>
      <c r="H16" s="3"/>
    </row>
    <row r="17" spans="1:8" s="1" customFormat="1" ht="16.5">
      <c r="A17" s="9" t="s">
        <v>184</v>
      </c>
      <c r="B17" s="161"/>
      <c r="C17" s="9" t="s">
        <v>184</v>
      </c>
      <c r="D17" s="161"/>
      <c r="E17" s="9" t="s">
        <v>184</v>
      </c>
      <c r="F17" s="157"/>
      <c r="G17" s="104"/>
      <c r="H17" s="3"/>
    </row>
    <row r="18" spans="1:8" s="1" customFormat="1" ht="16.5">
      <c r="A18" s="252" t="s">
        <v>210</v>
      </c>
      <c r="B18" s="253"/>
      <c r="C18" s="253"/>
      <c r="D18" s="253"/>
      <c r="E18" s="253"/>
      <c r="F18" s="253"/>
      <c r="G18" s="254"/>
      <c r="H18" s="3"/>
    </row>
    <row r="19" spans="1:8" s="1" customFormat="1" ht="16.5">
      <c r="A19" s="271"/>
      <c r="B19" s="271"/>
      <c r="C19" s="271"/>
      <c r="D19" s="271"/>
      <c r="E19" s="271"/>
      <c r="F19" s="271"/>
      <c r="G19" s="272"/>
      <c r="H19" s="5"/>
    </row>
    <row r="20" spans="1:8" ht="16.5">
      <c r="A20" s="73"/>
      <c r="B20" s="73"/>
      <c r="C20" s="73"/>
      <c r="D20" s="73"/>
      <c r="E20" s="73"/>
      <c r="F20" s="73"/>
      <c r="G20" s="73"/>
    </row>
    <row r="21" spans="1:8" s="1" customFormat="1" ht="13.5" customHeight="1">
      <c r="A21" s="255" t="s">
        <v>183</v>
      </c>
      <c r="B21" s="256"/>
      <c r="C21" s="260" t="s">
        <v>248</v>
      </c>
      <c r="D21" s="261"/>
      <c r="E21" s="261"/>
      <c r="F21" s="261"/>
      <c r="G21" s="262"/>
    </row>
    <row r="22" spans="1:8" s="1" customFormat="1" ht="16.5">
      <c r="A22" s="9" t="s">
        <v>203</v>
      </c>
      <c r="B22" s="9" t="s">
        <v>209</v>
      </c>
      <c r="C22" s="263"/>
      <c r="D22" s="264"/>
      <c r="E22" s="264"/>
      <c r="F22" s="264"/>
      <c r="G22" s="265"/>
    </row>
    <row r="23" spans="1:8" s="1" customFormat="1" ht="16.5">
      <c r="A23" s="157"/>
      <c r="B23" s="157"/>
      <c r="C23" s="263"/>
      <c r="D23" s="264"/>
      <c r="E23" s="264"/>
      <c r="F23" s="264"/>
      <c r="G23" s="265"/>
    </row>
    <row r="24" spans="1:8" s="1" customFormat="1" ht="16.5">
      <c r="A24" s="163"/>
      <c r="B24" s="157"/>
      <c r="C24" s="263"/>
      <c r="D24" s="264"/>
      <c r="E24" s="264"/>
      <c r="F24" s="264"/>
      <c r="G24" s="265"/>
    </row>
    <row r="25" spans="1:8" s="1" customFormat="1" ht="16.5">
      <c r="A25" s="162"/>
      <c r="B25" s="162"/>
      <c r="C25" s="263"/>
      <c r="D25" s="264"/>
      <c r="E25" s="264"/>
      <c r="F25" s="264"/>
      <c r="G25" s="265"/>
    </row>
    <row r="26" spans="1:8" s="1" customFormat="1" ht="16.5">
      <c r="A26" s="162"/>
      <c r="B26" s="162"/>
      <c r="C26" s="263"/>
      <c r="D26" s="264"/>
      <c r="E26" s="264"/>
      <c r="F26" s="264"/>
      <c r="G26" s="265"/>
    </row>
    <row r="27" spans="1:8" s="1" customFormat="1" ht="16.5">
      <c r="A27" s="9" t="s">
        <v>184</v>
      </c>
      <c r="B27" s="161"/>
      <c r="C27" s="266"/>
      <c r="D27" s="267"/>
      <c r="E27" s="267"/>
      <c r="F27" s="267"/>
      <c r="G27" s="268"/>
    </row>
    <row r="28" spans="1:8" s="1" customFormat="1" ht="16.5">
      <c r="A28" s="252" t="s">
        <v>211</v>
      </c>
      <c r="B28" s="253"/>
      <c r="C28" s="253"/>
      <c r="D28" s="253"/>
      <c r="E28" s="253"/>
      <c r="F28" s="253"/>
      <c r="G28" s="254"/>
    </row>
    <row r="29" spans="1:8" s="1" customFormat="1" ht="16.5">
      <c r="A29" s="249"/>
      <c r="B29" s="249"/>
      <c r="C29" s="249"/>
      <c r="D29" s="249"/>
      <c r="E29" s="249"/>
      <c r="F29" s="249"/>
      <c r="G29" s="250"/>
      <c r="H29" s="7"/>
    </row>
    <row r="30" spans="1:8" s="1" customFormat="1" ht="16.5">
      <c r="A30" s="251"/>
      <c r="B30" s="251"/>
      <c r="C30" s="251"/>
      <c r="D30" s="251"/>
      <c r="E30" s="251"/>
      <c r="F30" s="251"/>
      <c r="G30" s="251"/>
      <c r="H30" s="7"/>
    </row>
  </sheetData>
  <sheetProtection algorithmName="SHA-512" hashValue="BvcV2/TKOlcgF5HCf4Hpl/7iRvdmlm3KenIODKPfFT9j1G5Dngn44AcS3xmrDY96KAVU6wBwdTTWXfQBqmulnA==" saltValue="+C+/RhvLQEc3eQx/ocanRw==" spinCount="100000" sheet="1" objects="1" scenarios="1" formatColumns="0" formatRows="0" insertRows="0"/>
  <mergeCells count="18">
    <mergeCell ref="A9:C9"/>
    <mergeCell ref="C21:G27"/>
    <mergeCell ref="A1:G1"/>
    <mergeCell ref="A3:G3"/>
    <mergeCell ref="A19:G19"/>
    <mergeCell ref="A13:B13"/>
    <mergeCell ref="C13:D13"/>
    <mergeCell ref="E13:F13"/>
    <mergeCell ref="G13:G16"/>
    <mergeCell ref="A4:E4"/>
    <mergeCell ref="F4:G4"/>
    <mergeCell ref="A11:G11"/>
    <mergeCell ref="A10:G10"/>
    <mergeCell ref="A29:G29"/>
    <mergeCell ref="A30:G30"/>
    <mergeCell ref="A18:G18"/>
    <mergeCell ref="A28:G28"/>
    <mergeCell ref="A21:B21"/>
  </mergeCells>
  <phoneticPr fontId="1"/>
  <conditionalFormatting sqref="A26">
    <cfRule type="expression" dxfId="9" priority="7">
      <formula>B26=""</formula>
    </cfRule>
  </conditionalFormatting>
  <conditionalFormatting sqref="A23:B26 A29:G29">
    <cfRule type="expression" dxfId="8" priority="8">
      <formula>A23=""</formula>
    </cfRule>
  </conditionalFormatting>
  <conditionalFormatting sqref="A6:G8 A11:G11 A15:F16 A19:G19">
    <cfRule type="expression" dxfId="7" priority="9">
      <formula>A6=""</formula>
    </cfRule>
  </conditionalFormatting>
  <conditionalFormatting sqref="B17">
    <cfRule type="expression" dxfId="6" priority="4">
      <formula>B17=""</formula>
    </cfRule>
  </conditionalFormatting>
  <conditionalFormatting sqref="B27">
    <cfRule type="expression" dxfId="5" priority="1">
      <formula>B27=""</formula>
    </cfRule>
  </conditionalFormatting>
  <conditionalFormatting sqref="D17">
    <cfRule type="expression" dxfId="4" priority="3">
      <formula>D17=""</formula>
    </cfRule>
  </conditionalFormatting>
  <conditionalFormatting sqref="E9">
    <cfRule type="expression" dxfId="3" priority="6">
      <formula>E9=""</formula>
    </cfRule>
  </conditionalFormatting>
  <conditionalFormatting sqref="F17">
    <cfRule type="expression" dxfId="2" priority="2">
      <formula>F17=""</formula>
    </cfRule>
  </conditionalFormatting>
  <conditionalFormatting sqref="G9">
    <cfRule type="expression" dxfId="1" priority="5">
      <formula>G9=""</formula>
    </cfRule>
  </conditionalFormatting>
  <dataValidations count="1">
    <dataValidation type="whole" operator="greaterThan" allowBlank="1" showInputMessage="1" showErrorMessage="1" sqref="B15:B17 G6:G9 D15:D17 F15:F17 E9 C6:E8 B23:B27" xr:uid="{9BA1E30C-36FA-453A-B8FF-D0897AF855F3}">
      <formula1>0</formula1>
    </dataValidation>
  </dataValidations>
  <pageMargins left="0.7" right="0.7" top="0.75" bottom="0.75" header="0.3" footer="0.3"/>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744F3-ABE4-4786-AAB2-D59651F9D0EC}">
  <dimension ref="A1:E28"/>
  <sheetViews>
    <sheetView zoomScale="130" zoomScaleNormal="130" workbookViewId="0">
      <selection activeCell="B13" sqref="B13"/>
    </sheetView>
  </sheetViews>
  <sheetFormatPr defaultRowHeight="15"/>
  <cols>
    <col min="3" max="3" width="20.42578125" customWidth="1"/>
    <col min="5" max="5" width="37.640625" customWidth="1"/>
  </cols>
  <sheetData>
    <row r="1" spans="1:5" ht="14" customHeight="1">
      <c r="A1" s="286" t="s">
        <v>212</v>
      </c>
      <c r="B1" s="286"/>
      <c r="C1" s="286"/>
      <c r="D1" s="286"/>
      <c r="E1" s="286"/>
    </row>
    <row r="3" spans="1:5" s="2" customFormat="1" ht="13">
      <c r="A3" s="287" t="s">
        <v>213</v>
      </c>
      <c r="B3" s="288"/>
      <c r="C3" s="288"/>
      <c r="D3" s="288"/>
      <c r="E3" s="289"/>
    </row>
    <row r="4" spans="1:5" s="2" customFormat="1" ht="13">
      <c r="A4" s="86"/>
      <c r="B4" s="9" t="s">
        <v>214</v>
      </c>
      <c r="C4" s="9" t="s">
        <v>215</v>
      </c>
      <c r="D4" s="290" t="s">
        <v>216</v>
      </c>
      <c r="E4" s="254"/>
    </row>
    <row r="5" spans="1:5" s="2" customFormat="1" ht="13">
      <c r="A5" s="167">
        <v>1</v>
      </c>
      <c r="B5" s="157"/>
      <c r="C5" s="157"/>
      <c r="D5" s="291"/>
      <c r="E5" s="292"/>
    </row>
    <row r="6" spans="1:5" s="2" customFormat="1" ht="13">
      <c r="A6" s="167">
        <v>2</v>
      </c>
      <c r="B6" s="157"/>
      <c r="C6" s="157"/>
      <c r="D6" s="291"/>
      <c r="E6" s="292"/>
    </row>
    <row r="7" spans="1:5" s="2" customFormat="1" ht="13">
      <c r="A7" s="167">
        <v>3</v>
      </c>
      <c r="B7" s="157"/>
      <c r="C7" s="157"/>
      <c r="D7" s="291"/>
      <c r="E7" s="292"/>
    </row>
    <row r="8" spans="1:5" s="2" customFormat="1" ht="13">
      <c r="A8" s="167">
        <v>4</v>
      </c>
      <c r="B8" s="157"/>
      <c r="C8" s="157"/>
      <c r="D8" s="291"/>
      <c r="E8" s="292"/>
    </row>
    <row r="9" spans="1:5" s="2" customFormat="1" ht="13">
      <c r="A9" s="167">
        <v>5</v>
      </c>
      <c r="B9" s="157"/>
      <c r="C9" s="157"/>
      <c r="D9" s="293"/>
      <c r="E9" s="294"/>
    </row>
    <row r="10" spans="1:5" s="2" customFormat="1" ht="13">
      <c r="A10" s="167">
        <v>6</v>
      </c>
      <c r="B10" s="157"/>
      <c r="C10" s="157"/>
      <c r="D10" s="293"/>
      <c r="E10" s="294"/>
    </row>
    <row r="11" spans="1:5" s="2" customFormat="1" ht="13">
      <c r="A11" s="167">
        <v>7</v>
      </c>
      <c r="B11" s="157"/>
      <c r="C11" s="157"/>
      <c r="D11" s="293"/>
      <c r="E11" s="294"/>
    </row>
    <row r="12" spans="1:5" s="2" customFormat="1" ht="13">
      <c r="A12" s="167">
        <v>8</v>
      </c>
      <c r="B12" s="157"/>
      <c r="C12" s="157"/>
      <c r="D12" s="293"/>
      <c r="E12" s="294"/>
    </row>
    <row r="13" spans="1:5" s="2" customFormat="1" ht="13">
      <c r="A13" s="167">
        <v>9</v>
      </c>
      <c r="B13" s="157"/>
      <c r="C13" s="157"/>
      <c r="D13" s="291"/>
      <c r="E13" s="292"/>
    </row>
    <row r="14" spans="1:5" s="2" customFormat="1" ht="13.5" thickBot="1">
      <c r="A14" s="168">
        <v>10</v>
      </c>
      <c r="B14" s="164"/>
      <c r="C14" s="164"/>
      <c r="D14" s="214"/>
      <c r="E14" s="216"/>
    </row>
    <row r="15" spans="1:5" s="2" customFormat="1" ht="17" thickBot="1">
      <c r="A15" s="73"/>
      <c r="B15" s="73"/>
      <c r="C15" s="73"/>
      <c r="D15" s="73"/>
      <c r="E15" s="73"/>
    </row>
    <row r="16" spans="1:5" s="2" customFormat="1" ht="13">
      <c r="A16" s="287" t="s">
        <v>217</v>
      </c>
      <c r="B16" s="288"/>
      <c r="C16" s="288"/>
      <c r="D16" s="288"/>
      <c r="E16" s="289"/>
    </row>
    <row r="17" spans="1:5" s="2" customFormat="1" ht="13">
      <c r="A17" s="86"/>
      <c r="B17" s="9" t="s">
        <v>218</v>
      </c>
      <c r="C17" s="9" t="s">
        <v>219</v>
      </c>
      <c r="D17" s="9" t="s">
        <v>215</v>
      </c>
      <c r="E17" s="10" t="s">
        <v>220</v>
      </c>
    </row>
    <row r="18" spans="1:5" s="2" customFormat="1" ht="13">
      <c r="A18" s="167">
        <v>1</v>
      </c>
      <c r="B18" s="157"/>
      <c r="C18" s="157"/>
      <c r="D18" s="157"/>
      <c r="E18" s="165"/>
    </row>
    <row r="19" spans="1:5" s="2" customFormat="1" ht="13">
      <c r="A19" s="167">
        <v>2</v>
      </c>
      <c r="B19" s="157"/>
      <c r="C19" s="157"/>
      <c r="D19" s="157"/>
      <c r="E19" s="165"/>
    </row>
    <row r="20" spans="1:5" s="2" customFormat="1" ht="13">
      <c r="A20" s="167">
        <v>3</v>
      </c>
      <c r="B20" s="157"/>
      <c r="C20" s="157"/>
      <c r="D20" s="157"/>
      <c r="E20" s="165"/>
    </row>
    <row r="21" spans="1:5" s="2" customFormat="1" ht="13">
      <c r="A21" s="167">
        <v>4</v>
      </c>
      <c r="B21" s="157"/>
      <c r="C21" s="157"/>
      <c r="D21" s="157"/>
      <c r="E21" s="165"/>
    </row>
    <row r="22" spans="1:5" s="2" customFormat="1" ht="13">
      <c r="A22" s="167">
        <v>5</v>
      </c>
      <c r="B22" s="157"/>
      <c r="C22" s="157"/>
      <c r="D22" s="157"/>
      <c r="E22" s="165"/>
    </row>
    <row r="23" spans="1:5" s="2" customFormat="1" ht="13">
      <c r="A23" s="167">
        <v>6</v>
      </c>
      <c r="B23" s="157"/>
      <c r="C23" s="157"/>
      <c r="D23" s="157"/>
      <c r="E23" s="165"/>
    </row>
    <row r="24" spans="1:5" s="2" customFormat="1" ht="13">
      <c r="A24" s="167">
        <v>7</v>
      </c>
      <c r="B24" s="157"/>
      <c r="C24" s="157"/>
      <c r="D24" s="157"/>
      <c r="E24" s="165"/>
    </row>
    <row r="25" spans="1:5" s="2" customFormat="1" ht="13">
      <c r="A25" s="167">
        <v>8</v>
      </c>
      <c r="B25" s="157"/>
      <c r="C25" s="157"/>
      <c r="D25" s="157"/>
      <c r="E25" s="165"/>
    </row>
    <row r="26" spans="1:5" s="2" customFormat="1" ht="13">
      <c r="A26" s="167">
        <v>9</v>
      </c>
      <c r="B26" s="157"/>
      <c r="C26" s="157"/>
      <c r="D26" s="157"/>
      <c r="E26" s="165"/>
    </row>
    <row r="27" spans="1:5" s="2" customFormat="1" ht="13">
      <c r="A27" s="168">
        <v>10</v>
      </c>
      <c r="B27" s="164"/>
      <c r="C27" s="164"/>
      <c r="D27" s="164"/>
      <c r="E27" s="166"/>
    </row>
    <row r="28" spans="1:5" s="2" customFormat="1" ht="16.5">
      <c r="A28" s="1"/>
      <c r="B28" s="1"/>
      <c r="C28" s="1"/>
      <c r="D28" s="1"/>
      <c r="E28" s="1"/>
    </row>
  </sheetData>
  <sheetProtection algorithmName="SHA-512" hashValue="4k2cbwvM3y7H8gDxc+oC4jdmSToX8pgNhSSzoLEQqrDtwpUKEMBLAa7wbZ4ESBJnS/Q3/faAjwpw8F7IgUGUuA==" saltValue="pqacqXoQHWFqBKVJVfBHpg==" spinCount="100000" sheet="1" objects="1" scenarios="1" formatColumns="0" formatRows="0" insertRows="0"/>
  <mergeCells count="14">
    <mergeCell ref="A1:E1"/>
    <mergeCell ref="A16:E16"/>
    <mergeCell ref="A3:E3"/>
    <mergeCell ref="D4:E4"/>
    <mergeCell ref="D5:E5"/>
    <mergeCell ref="D6:E6"/>
    <mergeCell ref="D7:E7"/>
    <mergeCell ref="D8:E8"/>
    <mergeCell ref="D13:E13"/>
    <mergeCell ref="D14:E14"/>
    <mergeCell ref="D9:E9"/>
    <mergeCell ref="D10:E10"/>
    <mergeCell ref="D11:E11"/>
    <mergeCell ref="D12:E12"/>
  </mergeCells>
  <phoneticPr fontId="1"/>
  <conditionalFormatting sqref="B5:D14 B18:E27">
    <cfRule type="expression" dxfId="0" priority="2">
      <formula>B5=""</formula>
    </cfRule>
  </conditionalFormatting>
  <dataValidations count="1">
    <dataValidation type="whole" operator="greaterThan" allowBlank="1" showInputMessage="1" showErrorMessage="1" sqref="C5:C14 D18:D27" xr:uid="{9D693112-5DED-4737-A786-F99DA0A8AF10}">
      <formula1>0</formula1>
    </dataValidation>
  </dataValidations>
  <pageMargins left="0.7" right="0.7" top="0.75" bottom="0.75" header="0.3" footer="0.3"/>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A9B8C-337C-4ED0-8639-07DFDCB34A2C}">
  <dimension ref="A1:K27"/>
  <sheetViews>
    <sheetView zoomScale="86" workbookViewId="0">
      <selection activeCell="N20" sqref="N20"/>
    </sheetView>
  </sheetViews>
  <sheetFormatPr defaultRowHeight="15"/>
  <sheetData>
    <row r="1" spans="1:11">
      <c r="A1" s="35" t="s">
        <v>221</v>
      </c>
    </row>
    <row r="2" spans="1:11" s="12" customFormat="1" ht="40.5" customHeight="1">
      <c r="A2" s="295" t="s">
        <v>222</v>
      </c>
      <c r="B2" s="295"/>
      <c r="C2" s="295"/>
      <c r="D2" s="295"/>
      <c r="E2" s="295"/>
      <c r="F2" s="295"/>
      <c r="G2" s="295"/>
      <c r="H2" s="295"/>
      <c r="I2" s="295"/>
      <c r="J2" s="295"/>
      <c r="K2" s="295"/>
    </row>
    <row r="3" spans="1:11">
      <c r="A3" s="169" t="b">
        <v>0</v>
      </c>
      <c r="B3" s="89" t="s">
        <v>223</v>
      </c>
    </row>
    <row r="4" spans="1:11">
      <c r="A4" s="296" t="s">
        <v>224</v>
      </c>
      <c r="B4" s="297"/>
      <c r="C4" s="297"/>
      <c r="D4" s="297"/>
      <c r="E4" s="297"/>
      <c r="F4" s="297"/>
      <c r="G4" s="297"/>
      <c r="H4" s="297"/>
      <c r="I4" s="297"/>
      <c r="J4" s="297"/>
      <c r="K4" s="298"/>
    </row>
    <row r="5" spans="1:11">
      <c r="A5" s="299"/>
      <c r="B5" s="300"/>
      <c r="C5" s="300"/>
      <c r="D5" s="300"/>
      <c r="E5" s="300"/>
      <c r="F5" s="300"/>
      <c r="G5" s="300"/>
      <c r="H5" s="300"/>
      <c r="I5" s="300"/>
      <c r="J5" s="300"/>
      <c r="K5" s="301"/>
    </row>
    <row r="6" spans="1:11">
      <c r="A6" s="299"/>
      <c r="B6" s="300"/>
      <c r="C6" s="300"/>
      <c r="D6" s="300"/>
      <c r="E6" s="300"/>
      <c r="F6" s="300"/>
      <c r="G6" s="300"/>
      <c r="H6" s="300"/>
      <c r="I6" s="300"/>
      <c r="J6" s="300"/>
      <c r="K6" s="301"/>
    </row>
    <row r="7" spans="1:11">
      <c r="A7" s="299"/>
      <c r="B7" s="300"/>
      <c r="C7" s="300"/>
      <c r="D7" s="300"/>
      <c r="E7" s="300"/>
      <c r="F7" s="300"/>
      <c r="G7" s="300"/>
      <c r="H7" s="300"/>
      <c r="I7" s="300"/>
      <c r="J7" s="300"/>
      <c r="K7" s="301"/>
    </row>
    <row r="8" spans="1:11">
      <c r="A8" s="299"/>
      <c r="B8" s="300"/>
      <c r="C8" s="300"/>
      <c r="D8" s="300"/>
      <c r="E8" s="300"/>
      <c r="F8" s="300"/>
      <c r="G8" s="300"/>
      <c r="H8" s="300"/>
      <c r="I8" s="300"/>
      <c r="J8" s="300"/>
      <c r="K8" s="301"/>
    </row>
    <row r="9" spans="1:11">
      <c r="A9" s="299"/>
      <c r="B9" s="300"/>
      <c r="C9" s="300"/>
      <c r="D9" s="300"/>
      <c r="E9" s="300"/>
      <c r="F9" s="300"/>
      <c r="G9" s="300"/>
      <c r="H9" s="300"/>
      <c r="I9" s="300"/>
      <c r="J9" s="300"/>
      <c r="K9" s="301"/>
    </row>
    <row r="10" spans="1:11">
      <c r="A10" s="299"/>
      <c r="B10" s="300"/>
      <c r="C10" s="300"/>
      <c r="D10" s="300"/>
      <c r="E10" s="300"/>
      <c r="F10" s="300"/>
      <c r="G10" s="300"/>
      <c r="H10" s="300"/>
      <c r="I10" s="300"/>
      <c r="J10" s="300"/>
      <c r="K10" s="301"/>
    </row>
    <row r="11" spans="1:11">
      <c r="A11" s="299"/>
      <c r="B11" s="300"/>
      <c r="C11" s="300"/>
      <c r="D11" s="300"/>
      <c r="E11" s="300"/>
      <c r="F11" s="300"/>
      <c r="G11" s="300"/>
      <c r="H11" s="300"/>
      <c r="I11" s="300"/>
      <c r="J11" s="300"/>
      <c r="K11" s="301"/>
    </row>
    <row r="12" spans="1:11">
      <c r="A12" s="299"/>
      <c r="B12" s="300"/>
      <c r="C12" s="300"/>
      <c r="D12" s="300"/>
      <c r="E12" s="300"/>
      <c r="F12" s="300"/>
      <c r="G12" s="300"/>
      <c r="H12" s="300"/>
      <c r="I12" s="300"/>
      <c r="J12" s="300"/>
      <c r="K12" s="301"/>
    </row>
    <row r="13" spans="1:11">
      <c r="A13" s="299"/>
      <c r="B13" s="300"/>
      <c r="C13" s="300"/>
      <c r="D13" s="300"/>
      <c r="E13" s="300"/>
      <c r="F13" s="300"/>
      <c r="G13" s="300"/>
      <c r="H13" s="300"/>
      <c r="I13" s="300"/>
      <c r="J13" s="300"/>
      <c r="K13" s="301"/>
    </row>
    <row r="14" spans="1:11">
      <c r="A14" s="299"/>
      <c r="B14" s="300"/>
      <c r="C14" s="300"/>
      <c r="D14" s="300"/>
      <c r="E14" s="300"/>
      <c r="F14" s="300"/>
      <c r="G14" s="300"/>
      <c r="H14" s="300"/>
      <c r="I14" s="300"/>
      <c r="J14" s="300"/>
      <c r="K14" s="301"/>
    </row>
    <row r="15" spans="1:11">
      <c r="A15" s="299"/>
      <c r="B15" s="300"/>
      <c r="C15" s="300"/>
      <c r="D15" s="300"/>
      <c r="E15" s="300"/>
      <c r="F15" s="300"/>
      <c r="G15" s="300"/>
      <c r="H15" s="300"/>
      <c r="I15" s="300"/>
      <c r="J15" s="300"/>
      <c r="K15" s="301"/>
    </row>
    <row r="16" spans="1:11">
      <c r="A16" s="299"/>
      <c r="B16" s="300"/>
      <c r="C16" s="300"/>
      <c r="D16" s="300"/>
      <c r="E16" s="300"/>
      <c r="F16" s="300"/>
      <c r="G16" s="300"/>
      <c r="H16" s="300"/>
      <c r="I16" s="300"/>
      <c r="J16" s="300"/>
      <c r="K16" s="301"/>
    </row>
    <row r="17" spans="1:11">
      <c r="A17" s="299"/>
      <c r="B17" s="300"/>
      <c r="C17" s="300"/>
      <c r="D17" s="300"/>
      <c r="E17" s="300"/>
      <c r="F17" s="300"/>
      <c r="G17" s="300"/>
      <c r="H17" s="300"/>
      <c r="I17" s="300"/>
      <c r="J17" s="300"/>
      <c r="K17" s="301"/>
    </row>
    <row r="18" spans="1:11">
      <c r="A18" s="299"/>
      <c r="B18" s="300"/>
      <c r="C18" s="300"/>
      <c r="D18" s="300"/>
      <c r="E18" s="300"/>
      <c r="F18" s="300"/>
      <c r="G18" s="300"/>
      <c r="H18" s="300"/>
      <c r="I18" s="300"/>
      <c r="J18" s="300"/>
      <c r="K18" s="301"/>
    </row>
    <row r="19" spans="1:11">
      <c r="A19" s="299"/>
      <c r="B19" s="300"/>
      <c r="C19" s="300"/>
      <c r="D19" s="300"/>
      <c r="E19" s="300"/>
      <c r="F19" s="300"/>
      <c r="G19" s="300"/>
      <c r="H19" s="300"/>
      <c r="I19" s="300"/>
      <c r="J19" s="300"/>
      <c r="K19" s="301"/>
    </row>
    <row r="20" spans="1:11">
      <c r="A20" s="299"/>
      <c r="B20" s="300"/>
      <c r="C20" s="300"/>
      <c r="D20" s="300"/>
      <c r="E20" s="300"/>
      <c r="F20" s="300"/>
      <c r="G20" s="300"/>
      <c r="H20" s="300"/>
      <c r="I20" s="300"/>
      <c r="J20" s="300"/>
      <c r="K20" s="301"/>
    </row>
    <row r="21" spans="1:11">
      <c r="A21" s="299"/>
      <c r="B21" s="300"/>
      <c r="C21" s="300"/>
      <c r="D21" s="300"/>
      <c r="E21" s="300"/>
      <c r="F21" s="300"/>
      <c r="G21" s="300"/>
      <c r="H21" s="300"/>
      <c r="I21" s="300"/>
      <c r="J21" s="300"/>
      <c r="K21" s="301"/>
    </row>
    <row r="22" spans="1:11" ht="15.5" thickBot="1">
      <c r="A22" s="302"/>
      <c r="B22" s="303"/>
      <c r="C22" s="303"/>
      <c r="D22" s="303"/>
      <c r="E22" s="303"/>
      <c r="F22" s="303"/>
      <c r="G22" s="303"/>
      <c r="H22" s="303"/>
      <c r="I22" s="303"/>
      <c r="J22" s="303"/>
      <c r="K22" s="304"/>
    </row>
    <row r="24" spans="1:11">
      <c r="A24" s="12" t="s">
        <v>225</v>
      </c>
    </row>
    <row r="25" spans="1:11">
      <c r="A25" s="12"/>
      <c r="G25" s="12"/>
    </row>
    <row r="27" spans="1:11" ht="18">
      <c r="A27" s="75"/>
    </row>
  </sheetData>
  <sheetProtection algorithmName="SHA-512" hashValue="QZ9ybAWXcidILWiHtb+CQyPF47ZcmrqybNuqMbEDuYewZbfil2nXXyiX9kMRadCF1diZuXmgte1OJJd4k8JIxg==" saltValue="Wm1nowjaMxFtDJH/7pgSpw==" spinCount="100000" sheet="1" scenarios="1" formatColumns="0" formatRows="0"/>
  <mergeCells count="2">
    <mergeCell ref="A2:K2"/>
    <mergeCell ref="A4:K22"/>
  </mergeCells>
  <phoneticPr fontId="1"/>
  <pageMargins left="0.7" right="0.7" top="0.75" bottom="0.75" header="0.3" footer="0.3"/>
  <pageSetup paperSize="9"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766D8-AF1A-43EB-B83D-B6F8A77A292D}">
  <dimension ref="A1:C16"/>
  <sheetViews>
    <sheetView zoomScale="108" workbookViewId="0">
      <selection activeCell="C11" sqref="C11"/>
    </sheetView>
  </sheetViews>
  <sheetFormatPr defaultColWidth="9.140625" defaultRowHeight="13"/>
  <cols>
    <col min="1" max="1" width="28.85546875" style="2" bestFit="1" customWidth="1"/>
    <col min="2" max="2" width="24.2109375" style="2" customWidth="1"/>
    <col min="3" max="16384" width="9.140625" style="2"/>
  </cols>
  <sheetData>
    <row r="1" spans="1:3">
      <c r="A1" s="8" t="s">
        <v>226</v>
      </c>
      <c r="B1" s="8" t="s">
        <v>227</v>
      </c>
      <c r="C1" s="38" t="s">
        <v>149</v>
      </c>
    </row>
    <row r="2" spans="1:3">
      <c r="A2" s="3" t="s">
        <v>19</v>
      </c>
      <c r="B2" s="3" t="s">
        <v>228</v>
      </c>
      <c r="C2" s="39" t="s">
        <v>229</v>
      </c>
    </row>
    <row r="3" spans="1:3">
      <c r="A3" s="3" t="s">
        <v>22</v>
      </c>
      <c r="B3" s="3" t="s">
        <v>230</v>
      </c>
      <c r="C3" s="11" t="s">
        <v>246</v>
      </c>
    </row>
    <row r="4" spans="1:3">
      <c r="A4" s="3" t="s">
        <v>25</v>
      </c>
      <c r="B4" s="3" t="s">
        <v>232</v>
      </c>
      <c r="C4" s="39" t="s">
        <v>231</v>
      </c>
    </row>
    <row r="5" spans="1:3">
      <c r="A5" s="3" t="s">
        <v>28</v>
      </c>
      <c r="B5" s="3" t="s">
        <v>234</v>
      </c>
      <c r="C5" s="39" t="s">
        <v>233</v>
      </c>
    </row>
    <row r="6" spans="1:3">
      <c r="A6" s="3" t="s">
        <v>31</v>
      </c>
      <c r="B6" s="3" t="s">
        <v>236</v>
      </c>
      <c r="C6" s="39" t="s">
        <v>235</v>
      </c>
    </row>
    <row r="7" spans="1:3">
      <c r="A7" s="3" t="s">
        <v>238</v>
      </c>
      <c r="B7" s="3" t="s">
        <v>239</v>
      </c>
      <c r="C7" s="39" t="s">
        <v>237</v>
      </c>
    </row>
    <row r="8" spans="1:3">
      <c r="A8" s="3" t="s">
        <v>37</v>
      </c>
      <c r="B8" s="3" t="s">
        <v>240</v>
      </c>
      <c r="C8" s="39" t="s">
        <v>245</v>
      </c>
    </row>
    <row r="9" spans="1:3">
      <c r="A9" s="3" t="s">
        <v>40</v>
      </c>
      <c r="B9" s="3" t="s">
        <v>242</v>
      </c>
      <c r="C9" s="39" t="s">
        <v>241</v>
      </c>
    </row>
    <row r="10" spans="1:3">
      <c r="A10" s="3" t="s">
        <v>43</v>
      </c>
      <c r="B10" s="3" t="s">
        <v>243</v>
      </c>
      <c r="C10" s="39" t="s">
        <v>247</v>
      </c>
    </row>
    <row r="11" spans="1:3">
      <c r="A11" s="3" t="s">
        <v>46</v>
      </c>
      <c r="B11" s="3"/>
      <c r="C11" s="39" t="s">
        <v>13</v>
      </c>
    </row>
    <row r="12" spans="1:3">
      <c r="A12" s="11"/>
    </row>
    <row r="14" spans="1:3">
      <c r="A14" s="11"/>
    </row>
    <row r="15" spans="1:3">
      <c r="A15" s="11"/>
    </row>
    <row r="16" spans="1:3">
      <c r="A16" s="11"/>
    </row>
  </sheetData>
  <sheetProtection algorithmName="SHA-512" hashValue="dTvOsjqBVJOAqaNwBiFpThFx/mM7fdMj2rxmzJy0TZ/HFGYqYmtSdIy6Fvv75F1GPsKmqpPvoR4qCMQ0rSfMyw==" saltValue="pyo/pxnhVLFAaHChzMM33A==" spinCount="100000" sheet="1" objects="1" scenarios="1" selectLockedCells="1" selectUnlockedCells="1"/>
  <phoneticPr fontId="1"/>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はじめにご確認ください）記入にあたっての留意事項</vt:lpstr>
      <vt:lpstr>参考）府省共通経費取扱区分表</vt:lpstr>
      <vt:lpstr>研究計画調書_1枚目</vt:lpstr>
      <vt:lpstr>研究計画調書_2枚目</vt:lpstr>
      <vt:lpstr>研究計画調書_3枚目</vt:lpstr>
      <vt:lpstr>研究計画調書_4枚目</vt:lpstr>
      <vt:lpstr>研究計画調書_5枚目</vt:lpstr>
      <vt:lpstr>リスト</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2026-04-17T04:33:28Z</dcterms:created>
  <dcterms:modified xsi:type="dcterms:W3CDTF">2026-04-17T11:36:28Z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2026-04-17T04:34:11Z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158c396c-b535-43a1-87fb-f61020f52b76</vt:lpwstr>
  </property>
  <property fmtid="{D5CDD505-2E9C-101B-9397-08002B2CF9AE}" pid="8" name="MSIP_Label_d899a617-f30e-4fb8-b81c-fb6d0b94ac5b_ContentBits">
    <vt:lpwstr>0</vt:lpwstr>
  </property>
  <property fmtid="{D5CDD505-2E9C-101B-9397-08002B2CF9AE}" pid="9" name="MSIP_Label_d899a617-f30e-4fb8-b81c-fb6d0b94ac5b_Tag">
    <vt:lpwstr>10, 3, 0, 1</vt:lpwstr>
  </property>
</Properties>
</file>